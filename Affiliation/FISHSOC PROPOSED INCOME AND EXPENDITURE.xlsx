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ongwon/Downloads/"/>
    </mc:Choice>
  </mc:AlternateContent>
  <xr:revisionPtr revIDLastSave="0" documentId="8_{89813F21-2635-9743-AEAE-5EED73A25C85}" xr6:coauthVersionLast="47" xr6:coauthVersionMax="47" xr10:uidLastSave="{00000000-0000-0000-0000-000000000000}"/>
  <bookViews>
    <workbookView xWindow="0" yWindow="660" windowWidth="29400" windowHeight="17160" activeTab="3" xr2:uid="{00000000-000D-0000-FFFF-FFFF00000000}"/>
  </bookViews>
  <sheets>
    <sheet name="General Ledger T3" sheetId="2" r:id="rId1"/>
    <sheet name="General Ledger T1" sheetId="3" r:id="rId2"/>
    <sheet name="General Ledger T2" sheetId="4" r:id="rId3"/>
    <sheet name="Income &amp; Expenditure" sheetId="5" r:id="rId4"/>
    <sheet name="Term Dates" sheetId="6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5" l="1"/>
  <c r="C53" i="5"/>
  <c r="C52" i="5"/>
  <c r="C51" i="5"/>
  <c r="C50" i="5"/>
  <c r="C49" i="5"/>
  <c r="C48" i="5"/>
  <c r="C41" i="5"/>
  <c r="C40" i="5"/>
  <c r="C39" i="5"/>
  <c r="C38" i="5"/>
  <c r="C37" i="5"/>
  <c r="C36" i="5"/>
  <c r="C35" i="5"/>
  <c r="C29" i="5"/>
  <c r="C28" i="5"/>
  <c r="C27" i="5"/>
  <c r="C26" i="5"/>
  <c r="C25" i="5"/>
  <c r="C24" i="5"/>
  <c r="C30" i="5" s="1"/>
  <c r="C18" i="5"/>
  <c r="C17" i="5"/>
  <c r="C16" i="5"/>
  <c r="C15" i="5"/>
  <c r="C14" i="5"/>
  <c r="C13" i="5"/>
  <c r="C12" i="5"/>
  <c r="C19" i="5" s="1"/>
  <c r="S9" i="4"/>
  <c r="H9" i="4"/>
  <c r="S9" i="3"/>
  <c r="H9" i="3"/>
  <c r="R5" i="5" s="1"/>
  <c r="C42" i="5" s="1"/>
  <c r="S9" i="2"/>
  <c r="R6" i="5" s="1"/>
  <c r="H9" i="2"/>
  <c r="C55" i="5" l="1"/>
  <c r="C56" i="5" s="1"/>
  <c r="R7" i="5"/>
  <c r="C43" i="5"/>
</calcChain>
</file>

<file path=xl/sharedStrings.xml><?xml version="1.0" encoding="utf-8"?>
<sst xmlns="http://schemas.openxmlformats.org/spreadsheetml/2006/main" count="292" uniqueCount="113">
  <si>
    <t>FINANCIAL LEDGER - Term 3</t>
  </si>
  <si>
    <r>
      <rPr>
        <sz val="409.55"/>
        <color rgb="FF000000"/>
        <rFont val="Calibri"/>
        <family val="2"/>
      </rPr>
      <t xml:space="preserve">List individual expenses and income 'by receipt' from </t>
    </r>
    <r>
      <rPr>
        <b/>
        <sz val="409.55"/>
        <color rgb="FF000000"/>
        <rFont val="Calibri"/>
        <family val="2"/>
        <scheme val="major"/>
      </rPr>
      <t>Term 3 last year</t>
    </r>
    <r>
      <rPr>
        <sz val="409.55"/>
        <color rgb="FF000000"/>
        <rFont val="Calibri"/>
        <family val="2"/>
        <scheme val="major"/>
      </rPr>
      <t>, as they would show on your bank statement. 
Paid by column is for your own reference, but optional</t>
    </r>
  </si>
  <si>
    <t>EXPENSES</t>
  </si>
  <si>
    <t>INCOME</t>
  </si>
  <si>
    <t>Total Expenses</t>
  </si>
  <si>
    <t>Total Income</t>
  </si>
  <si>
    <t>Date</t>
  </si>
  <si>
    <t>Qty</t>
  </si>
  <si>
    <t>Item</t>
  </si>
  <si>
    <t>Description</t>
  </si>
  <si>
    <t>Paid by</t>
  </si>
  <si>
    <t>Cost</t>
  </si>
  <si>
    <t>Category</t>
  </si>
  <si>
    <t>&lt;</t>
  </si>
  <si>
    <t>Drag table corner to increase/decrease size</t>
  </si>
  <si>
    <t>FINANCIAL LEDGER - Term 1</t>
  </si>
  <si>
    <r>
      <t xml:space="preserve">List individual expenses and income 'by receipt' from </t>
    </r>
    <r>
      <rPr>
        <b/>
        <sz val="13"/>
        <color theme="1"/>
        <rFont val="Calibri"/>
        <family val="2"/>
        <scheme val="major"/>
      </rPr>
      <t>Term 1</t>
    </r>
    <r>
      <rPr>
        <sz val="13"/>
        <color theme="1"/>
        <rFont val="Calibri"/>
        <family val="2"/>
        <scheme val="major"/>
      </rPr>
      <t xml:space="preserve">, as they would show on your bank statement. 
Paid by column is for your own reference, but optional - </t>
    </r>
    <r>
      <rPr>
        <b/>
        <sz val="13"/>
        <color theme="1"/>
        <rFont val="Calibri"/>
        <family val="2"/>
        <scheme val="major"/>
      </rPr>
      <t>all other fields must be completed</t>
    </r>
  </si>
  <si>
    <t>FINANCIAL LEDGER - Term 2</t>
  </si>
  <si>
    <r>
      <t xml:space="preserve">List individual expenses and income 'by receipt' from </t>
    </r>
    <r>
      <rPr>
        <b/>
        <sz val="13"/>
        <color theme="1"/>
        <rFont val="Calibri"/>
        <family val="2"/>
        <scheme val="major"/>
      </rPr>
      <t>Term 2</t>
    </r>
    <r>
      <rPr>
        <sz val="13"/>
        <color theme="1"/>
        <rFont val="Calibri"/>
        <family val="2"/>
        <scheme val="major"/>
      </rPr>
      <t>, as they would show on your bank statement. 
Paid by column is for your own reference, but optional -</t>
    </r>
    <r>
      <rPr>
        <b/>
        <sz val="13"/>
        <color theme="1"/>
        <rFont val="Calibri"/>
        <family val="2"/>
        <scheme val="major"/>
      </rPr>
      <t xml:space="preserve"> all other fields must be comleted</t>
    </r>
  </si>
  <si>
    <t>Income &amp; Expenditure Report</t>
  </si>
  <si>
    <t>Overview</t>
  </si>
  <si>
    <t>Balance Total:</t>
  </si>
  <si>
    <r>
      <t xml:space="preserve">These tables will </t>
    </r>
    <r>
      <rPr>
        <b/>
        <sz val="11"/>
        <color theme="1"/>
        <rFont val="Calibri"/>
        <family val="2"/>
        <scheme val="minor"/>
      </rPr>
      <t>auto-fill</t>
    </r>
    <r>
      <rPr>
        <sz val="11"/>
        <color theme="1"/>
        <rFont val="Calibri"/>
        <family val="2"/>
        <scheme val="minor"/>
      </rPr>
      <t xml:space="preserve"> when you complete Ledger sheets </t>
    </r>
  </si>
  <si>
    <t>Summary - Expenses by Category</t>
  </si>
  <si>
    <t>Amount</t>
  </si>
  <si>
    <t>Food/Non-Alcoholic Drinks</t>
  </si>
  <si>
    <t>Equipment</t>
  </si>
  <si>
    <t>Booking/Venue Hire</t>
  </si>
  <si>
    <t>Merchandise</t>
  </si>
  <si>
    <t>Administrative Costs</t>
  </si>
  <si>
    <t>Alcohol</t>
  </si>
  <si>
    <t>Other</t>
  </si>
  <si>
    <t>Total</t>
  </si>
  <si>
    <t>Summary - Income by Category</t>
  </si>
  <si>
    <t>Sales</t>
  </si>
  <si>
    <t>Arc Grants</t>
  </si>
  <si>
    <t>Membership fees</t>
  </si>
  <si>
    <t>Sponsorship</t>
  </si>
  <si>
    <t>Summary - Expenses by Week</t>
  </si>
  <si>
    <t>O-Week</t>
  </si>
  <si>
    <t>Week 1-2</t>
  </si>
  <si>
    <t>Weeks 3-4</t>
  </si>
  <si>
    <t>Weeks 5-6</t>
  </si>
  <si>
    <t>Weeks 7-8</t>
  </si>
  <si>
    <t>Weeks 9-10</t>
  </si>
  <si>
    <t>StuVAC/Exam Period</t>
  </si>
  <si>
    <t>Break (excl. O-Week)</t>
  </si>
  <si>
    <t>Summary - Income by Week</t>
  </si>
  <si>
    <t>Break(excl. O-Week)</t>
  </si>
  <si>
    <t xml:space="preserve">Term dates </t>
  </si>
  <si>
    <t>TERM 1</t>
  </si>
  <si>
    <t>2022</t>
  </si>
  <si>
    <t>2023</t>
  </si>
  <si>
    <t>2024</t>
  </si>
  <si>
    <t>2025</t>
  </si>
  <si>
    <t>2026</t>
  </si>
  <si>
    <t xml:space="preserve">Week 1 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</si>
  <si>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</si>
  <si>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</si>
  <si>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</si>
  <si>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</si>
  <si>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</si>
  <si>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</si>
  <si>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</si>
  <si>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</si>
  <si>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</si>
  <si>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Study/Exam Period</t>
  </si>
  <si>
    <t>StuVAC</t>
  </si>
  <si>
    <t>TERM 2</t>
  </si>
  <si>
    <t>TERM 3</t>
  </si>
  <si>
    <t>Rod and reel combos</t>
  </si>
  <si>
    <t>Beginner fishing gear for member events</t>
  </si>
  <si>
    <t>Planned</t>
  </si>
  <si>
    <t>Annual memberships</t>
  </si>
  <si>
    <t>$5 membership fee for projected 100 members</t>
  </si>
  <si>
    <t>Tackle kits</t>
  </si>
  <si>
    <t>Hooks, sinkers, swivels and small tackle boxes</t>
  </si>
  <si>
    <t>Arc grant</t>
  </si>
  <si>
    <t>Application for equipment and establishment support</t>
  </si>
  <si>
    <t>Safety equipment</t>
  </si>
  <si>
    <t>First aid kit, life jackets and sun protection</t>
  </si>
  <si>
    <t>Event contributions</t>
  </si>
  <si>
    <t>$10 contribution for guided fishing event</t>
  </si>
  <si>
    <t>O-Week promotion</t>
  </si>
  <si>
    <t>Posters, flyers and QR-code signage</t>
  </si>
  <si>
    <t>Fishing retailer sponsorship</t>
  </si>
  <si>
    <t>Cash or equivalent sponsorship contribution</t>
  </si>
  <si>
    <t>Fishing event supplies</t>
  </si>
  <si>
    <t>Bait, ice and replacement terminal tackle</t>
  </si>
  <si>
    <t>Food and drinks</t>
  </si>
  <si>
    <t>Non-alcoholic refreshments for member event</t>
  </si>
  <si>
    <t>Additional rod and reel combos</t>
  </si>
  <si>
    <t>Extra gear to support membership growth</t>
  </si>
  <si>
    <t>Application for club activity support</t>
  </si>
  <si>
    <t>Education workshop</t>
  </si>
  <si>
    <t>Room booking and demonstration materials</t>
  </si>
  <si>
    <t>Term sponsorship contribution</t>
  </si>
  <si>
    <t>Non-alcoholic refreshments for workshop</t>
  </si>
  <si>
    <t>Equipment maintenance</t>
  </si>
  <si>
    <t>Line replacement, cleaning and minor repairs</t>
  </si>
  <si>
    <t>Sustainable fishing workshop</t>
  </si>
  <si>
    <t>Educational materials and guest speaker support</t>
  </si>
  <si>
    <t>Merchandise sales</t>
  </si>
  <si>
    <t>Sale of limited club shirts or caps</t>
  </si>
  <si>
    <t>Club merchandise</t>
  </si>
  <si>
    <t>Branded shirts or caps for promotion</t>
  </si>
  <si>
    <t>Fundraising income</t>
  </si>
  <si>
    <t>Small fundraising activity</t>
  </si>
  <si>
    <t>Insurance and administration</t>
  </si>
  <si>
    <t>Banking, printing and miscellaneous administration</t>
  </si>
  <si>
    <t>BUDGET PERIOD:</t>
  </si>
  <si>
    <t>T3 2026–T2 2027</t>
  </si>
  <si>
    <t>Planned surplus: $300 retained for unexpected costs, gear replacement and future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</si>
</sst>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dd/mm/yyyy"/>
    <numFmt numFmtId="166" formatCode="\$#,##0.00"/>
  </numFmts>
  <fonts count="28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</font>
    <font>
      <sz val="12"/>
      <name val="Calibri"/>
      <family val="2"/>
    </font>
    <font>
      <b/>
      <sz val="8"/>
      <color theme="7" tint="-0.24994659260841701"/>
      <name val="Calibri Light"/>
      <family val="2"/>
    </font>
    <font>
      <b/>
      <sz val="25"/>
      <color theme="1"/>
      <name val="Calibri"/>
      <family val="2"/>
    </font>
    <font>
      <sz val="13"/>
      <color theme="1"/>
      <name val="Calibri Light"/>
      <family val="2"/>
    </font>
    <font>
      <b/>
      <sz val="30"/>
      <color theme="0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theme="9" tint="-0.249977111117893"/>
      <name val="Calibri"/>
      <family val="2"/>
    </font>
    <font>
      <b/>
      <sz val="11"/>
      <color theme="9" tint="0.3999755851924192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theme="3"/>
      <name val="Calibri"/>
      <family val="2"/>
    </font>
    <font>
      <sz val="11"/>
      <name val="Calibri"/>
      <family val="2"/>
    </font>
    <font>
      <sz val="15"/>
      <color theme="1"/>
      <name val="Calibri"/>
      <family val="2"/>
    </font>
    <font>
      <b/>
      <sz val="11"/>
      <color rgb="FF1F4E78"/>
      <name val="Calibri"/>
      <family val="2"/>
    </font>
    <font>
      <sz val="11"/>
      <color rgb="FF375623"/>
      <name val="Calibri"/>
      <family val="2"/>
    </font>
    <font>
      <sz val="409.55"/>
      <color rgb="FF000000"/>
      <name val="Calibri"/>
      <family val="2"/>
    </font>
    <font>
      <b/>
      <sz val="409.55"/>
      <color rgb="FF000000"/>
      <name val="Calibri"/>
      <family val="2"/>
      <scheme val="major"/>
    </font>
    <font>
      <sz val="409.55"/>
      <color rgb="FF000000"/>
      <name val="Calibri"/>
      <family val="2"/>
      <scheme val="major"/>
    </font>
    <font>
      <b/>
      <sz val="13"/>
      <color theme="1"/>
      <name val="Calibri"/>
      <family val="2"/>
      <scheme val="major"/>
    </font>
    <font>
      <sz val="13"/>
      <color theme="1"/>
      <name val="Calibri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</patternFill>
    </fill>
    <fill>
      <patternFill patternType="solid">
        <fgColor rgb="FF004A42"/>
      </patternFill>
    </fill>
    <fill>
      <patternFill patternType="solid">
        <fgColor theme="1" tint="0.34998626667073579"/>
        <bgColor indexed="65"/>
      </patternFill>
    </fill>
    <fill>
      <patternFill patternType="solid">
        <fgColor theme="0"/>
      </patternFill>
    </fill>
    <fill>
      <patternFill patternType="solid">
        <fgColor rgb="FFE76C07"/>
      </patternFill>
    </fill>
    <fill>
      <patternFill patternType="solid">
        <fgColor rgb="FF0728B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14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medium">
        <color theme="7"/>
      </bottom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 style="thin">
        <color theme="7"/>
      </right>
      <top style="thin">
        <color theme="7"/>
      </top>
      <bottom style="medium">
        <color theme="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2" tint="-0.49995422223578601"/>
      </bottom>
      <diagonal/>
    </border>
    <border>
      <left/>
      <right/>
      <top style="thin">
        <color theme="2" tint="-0.49995422223578601"/>
      </top>
      <bottom/>
      <diagonal/>
    </border>
    <border>
      <left/>
      <right/>
      <top style="medium">
        <color theme="7"/>
      </top>
      <bottom style="thin">
        <color indexed="64"/>
      </bottom>
      <diagonal/>
    </border>
    <border>
      <left style="thin">
        <color rgb="FF70AD47"/>
      </left>
      <right/>
      <top style="thin">
        <color rgb="FF70AD47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StyleXfs count="5">
    <xf numFmtId="0" fontId="0" fillId="0" borderId="0"/>
    <xf numFmtId="164" fontId="3" fillId="2" borderId="0">
      <alignment horizontal="right" vertical="center"/>
    </xf>
    <xf numFmtId="164" fontId="5" fillId="0" borderId="0"/>
    <xf numFmtId="164" fontId="6" fillId="0" borderId="1">
      <alignment horizontal="right" vertical="center"/>
    </xf>
    <xf numFmtId="0" fontId="16" fillId="0" borderId="0">
      <alignment horizontal="left" vertical="center"/>
    </xf>
  </cellStyleXfs>
  <cellXfs count="66">
    <xf numFmtId="0" fontId="0" fillId="0" borderId="0" xfId="0"/>
    <xf numFmtId="0" fontId="4" fillId="3" borderId="0" xfId="1" applyNumberFormat="1" applyFont="1" applyFill="1" applyAlignment="1">
      <alignment horizontal="left" vertical="center"/>
    </xf>
    <xf numFmtId="164" fontId="0" fillId="0" borderId="0" xfId="2" applyFont="1" applyAlignment="1">
      <alignment horizontal="left"/>
    </xf>
    <xf numFmtId="164" fontId="0" fillId="0" borderId="0" xfId="2" applyFont="1"/>
    <xf numFmtId="164" fontId="6" fillId="0" borderId="0" xfId="3" applyBorder="1">
      <alignment horizontal="right" vertical="center"/>
    </xf>
    <xf numFmtId="164" fontId="5" fillId="0" borderId="0" xfId="2" applyAlignment="1">
      <alignment horizontal="left"/>
    </xf>
    <xf numFmtId="164" fontId="5" fillId="0" borderId="0" xfId="2"/>
    <xf numFmtId="0" fontId="0" fillId="0" borderId="0" xfId="0" applyAlignment="1">
      <alignment horizontal="left"/>
    </xf>
    <xf numFmtId="164" fontId="0" fillId="0" borderId="0" xfId="0" applyNumberFormat="1"/>
    <xf numFmtId="0" fontId="4" fillId="3" borderId="0" xfId="1" applyNumberFormat="1" applyFont="1" applyFill="1" applyAlignment="1">
      <alignment horizontal="left" vertical="top"/>
    </xf>
    <xf numFmtId="164" fontId="4" fillId="3" borderId="0" xfId="1" applyFont="1" applyFill="1" applyAlignment="1">
      <alignment horizontal="left" vertical="top"/>
    </xf>
    <xf numFmtId="0" fontId="0" fillId="4" borderId="0" xfId="0" applyFill="1"/>
    <xf numFmtId="0" fontId="0" fillId="5" borderId="0" xfId="0" applyFill="1"/>
    <xf numFmtId="0" fontId="2" fillId="0" borderId="0" xfId="0" applyFont="1"/>
    <xf numFmtId="0" fontId="4" fillId="6" borderId="0" xfId="1" applyNumberFormat="1" applyFont="1" applyFill="1" applyAlignment="1">
      <alignment horizontal="left" vertical="top"/>
    </xf>
    <xf numFmtId="164" fontId="4" fillId="6" borderId="0" xfId="1" applyFont="1" applyFill="1" applyAlignment="1">
      <alignment horizontal="left" vertical="top"/>
    </xf>
    <xf numFmtId="0" fontId="4" fillId="7" borderId="0" xfId="1" applyNumberFormat="1" applyFont="1" applyFill="1" applyAlignment="1">
      <alignment horizontal="left" vertical="top"/>
    </xf>
    <xf numFmtId="164" fontId="4" fillId="7" borderId="0" xfId="1" applyFont="1" applyFill="1" applyAlignment="1">
      <alignment horizontal="left" vertical="top"/>
    </xf>
    <xf numFmtId="0" fontId="0" fillId="0" borderId="5" xfId="0" applyBorder="1"/>
    <xf numFmtId="0" fontId="0" fillId="0" borderId="7" xfId="0" applyBorder="1"/>
    <xf numFmtId="0" fontId="15" fillId="0" borderId="0" xfId="0" applyFont="1"/>
    <xf numFmtId="164" fontId="17" fillId="0" borderId="0" xfId="2" applyFont="1"/>
    <xf numFmtId="0" fontId="1" fillId="0" borderId="0" xfId="0" applyFont="1"/>
    <xf numFmtId="0" fontId="18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9" borderId="0" xfId="0" applyFill="1"/>
    <xf numFmtId="165" fontId="0" fillId="0" borderId="0" xfId="0" applyNumberFormat="1"/>
    <xf numFmtId="165" fontId="6" fillId="0" borderId="0" xfId="0" applyNumberFormat="1" applyFont="1" applyAlignment="1">
      <alignment horizontal="right" vertical="center"/>
    </xf>
    <xf numFmtId="16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4" fontId="6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wrapText="1"/>
    </xf>
    <xf numFmtId="0" fontId="19" fillId="10" borderId="5" xfId="0" applyFont="1" applyFill="1" applyBorder="1" applyAlignment="1">
      <alignment horizontal="center" vertical="center"/>
    </xf>
    <xf numFmtId="166" fontId="11" fillId="0" borderId="0" xfId="0" applyNumberFormat="1" applyFont="1"/>
    <xf numFmtId="166" fontId="17" fillId="0" borderId="0" xfId="0" applyNumberFormat="1" applyFont="1"/>
    <xf numFmtId="166" fontId="3" fillId="3" borderId="0" xfId="0" applyNumberFormat="1" applyFont="1" applyFill="1" applyAlignment="1">
      <alignment horizontal="left" vertical="center"/>
    </xf>
    <xf numFmtId="0" fontId="10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9" fillId="6" borderId="2" xfId="1" applyFont="1" applyFill="1" applyBorder="1" applyAlignment="1">
      <alignment horizontal="center" vertical="top"/>
    </xf>
    <xf numFmtId="164" fontId="9" fillId="6" borderId="3" xfId="1" applyFont="1" applyFill="1" applyBorder="1" applyAlignment="1">
      <alignment horizontal="center" vertical="top"/>
    </xf>
    <xf numFmtId="164" fontId="9" fillId="6" borderId="4" xfId="1" applyFont="1" applyFill="1" applyBorder="1" applyAlignment="1">
      <alignment horizontal="center" vertical="top"/>
    </xf>
    <xf numFmtId="164" fontId="9" fillId="3" borderId="2" xfId="1" applyFont="1" applyFill="1" applyBorder="1" applyAlignment="1">
      <alignment horizontal="center" vertical="top"/>
    </xf>
    <xf numFmtId="164" fontId="9" fillId="3" borderId="3" xfId="1" applyFont="1" applyFill="1" applyBorder="1" applyAlignment="1">
      <alignment horizontal="center" vertical="top"/>
    </xf>
    <xf numFmtId="164" fontId="9" fillId="3" borderId="4" xfId="1" applyFont="1" applyFill="1" applyBorder="1" applyAlignment="1">
      <alignment horizontal="center" vertical="top"/>
    </xf>
    <xf numFmtId="164" fontId="9" fillId="7" borderId="2" xfId="1" applyFont="1" applyFill="1" applyBorder="1" applyAlignment="1">
      <alignment horizontal="center" vertical="top"/>
    </xf>
    <xf numFmtId="164" fontId="9" fillId="7" borderId="3" xfId="1" applyFont="1" applyFill="1" applyBorder="1" applyAlignment="1">
      <alignment horizontal="center" vertical="top"/>
    </xf>
    <xf numFmtId="164" fontId="9" fillId="7" borderId="4" xfId="1" applyFont="1" applyFill="1" applyBorder="1" applyAlignment="1">
      <alignment horizontal="center" vertical="top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9" fillId="10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/>
    </xf>
    <xf numFmtId="0" fontId="14" fillId="0" borderId="5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7" xfId="0" applyFont="1" applyBorder="1" applyAlignment="1">
      <alignment horizontal="left"/>
    </xf>
    <xf numFmtId="166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20" fillId="11" borderId="10" xfId="0" applyFont="1" applyFill="1" applyBorder="1" applyAlignment="1">
      <alignment vertical="center" wrapText="1"/>
    </xf>
    <xf numFmtId="164" fontId="20" fillId="11" borderId="11" xfId="0" applyNumberFormat="1" applyFont="1" applyFill="1" applyBorder="1" applyAlignment="1">
      <alignment horizontal="center" vertical="center" wrapText="1"/>
    </xf>
    <xf numFmtId="0" fontId="20" fillId="11" borderId="12" xfId="0" applyFont="1" applyFill="1" applyBorder="1" applyAlignment="1">
      <alignment vertical="center" wrapText="1"/>
    </xf>
    <xf numFmtId="0" fontId="20" fillId="11" borderId="13" xfId="0" applyFont="1" applyFill="1" applyBorder="1" applyAlignment="1">
      <alignment vertical="center" wrapText="1"/>
    </xf>
  </cellXfs>
  <cellStyles count="5">
    <cellStyle name="Normal" xfId="0" builtinId="0"/>
    <cellStyle name="Normal 2" xfId="2" xr:uid="{00000000-0005-0000-0000-000001000000}"/>
    <cellStyle name="Table - Header 2" xfId="1" xr:uid="{00000000-0005-0000-0000-000002000000}"/>
    <cellStyle name="Table - Total" xfId="3" xr:uid="{00000000-0005-0000-0000-000003000000}"/>
    <cellStyle name="Total - Heading Titles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'Income &amp; Expenditure'!$C$11</c:f>
              <c:strCache>
                <c:ptCount val="1"/>
                <c:pt idx="0">
                  <c:v>Amount</c:v>
                </c:pt>
              </c:strCache>
            </c:strRef>
          </c:tx>
          <c:invertIfNegative val="1"/>
          <c:cat>
            <c:strRef>
              <c:f>'Income &amp; Expenditure'!$B$12:$B$18</c:f>
              <c:strCache>
                <c:ptCount val="7"/>
                <c:pt idx="0">
                  <c:v>Food/Non-Alcoholic Drinks</c:v>
                </c:pt>
                <c:pt idx="1">
                  <c:v>Equipment</c:v>
                </c:pt>
                <c:pt idx="2">
                  <c:v>Booking/Venue Hire</c:v>
                </c:pt>
                <c:pt idx="3">
                  <c:v>Merchandise</c:v>
                </c:pt>
                <c:pt idx="4">
                  <c:v>Administrative Costs</c:v>
                </c:pt>
                <c:pt idx="5">
                  <c:v>Alcohol</c:v>
                </c:pt>
                <c:pt idx="6">
                  <c:v>Other</c:v>
                </c:pt>
              </c:strCache>
            </c:strRef>
          </c:cat>
          <c:val>
            <c:numRef>
              <c:f>'Income &amp; Expenditure'!$C$12:$C$18</c:f>
              <c:numCache>
                <c:formatCode>"$"#,##0.00</c:formatCode>
                <c:ptCount val="7"/>
                <c:pt idx="0">
                  <c:v>240</c:v>
                </c:pt>
                <c:pt idx="1">
                  <c:v>1500</c:v>
                </c:pt>
                <c:pt idx="2">
                  <c:v>160</c:v>
                </c:pt>
                <c:pt idx="3">
                  <c:v>200</c:v>
                </c:pt>
                <c:pt idx="4">
                  <c:v>150</c:v>
                </c:pt>
                <c:pt idx="5">
                  <c:v>0</c:v>
                </c:pt>
                <c:pt idx="6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C-594A-865B-734C13905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AU" b="1">
                    <a:solidFill>
                      <a:sysClr val="windowText" lastClr="000000"/>
                    </a:solidFill>
                  </a:rPr>
                  <a:t>Amount</a:t>
                </a:r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'Income &amp; Expenditure'!$C$23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1"/>
          <c:cat>
            <c:strRef>
              <c:f>'Income &amp; Expenditure'!$B$24:$B$29</c:f>
              <c:strCache>
                <c:ptCount val="6"/>
                <c:pt idx="0">
                  <c:v>Sales</c:v>
                </c:pt>
                <c:pt idx="1">
                  <c:v>Merchandise</c:v>
                </c:pt>
                <c:pt idx="2">
                  <c:v>Arc Grants</c:v>
                </c:pt>
                <c:pt idx="3">
                  <c:v>Membership fees</c:v>
                </c:pt>
                <c:pt idx="4">
                  <c:v>Sponsorship</c:v>
                </c:pt>
                <c:pt idx="5">
                  <c:v>Other</c:v>
                </c:pt>
              </c:strCache>
            </c:strRef>
          </c:cat>
          <c:val>
            <c:numRef>
              <c:f>'Income &amp; Expenditure'!$C$24:$C$29</c:f>
              <c:numCache>
                <c:formatCode>"$"#,##0.00</c:formatCode>
                <c:ptCount val="6"/>
                <c:pt idx="0">
                  <c:v>600</c:v>
                </c:pt>
                <c:pt idx="1">
                  <c:v>200</c:v>
                </c:pt>
                <c:pt idx="2">
                  <c:v>1000</c:v>
                </c:pt>
                <c:pt idx="3">
                  <c:v>500</c:v>
                </c:pt>
                <c:pt idx="4">
                  <c:v>500</c:v>
                </c:pt>
                <c:pt idx="5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90-834A-8A64-063252A65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AU" sz="1000" b="1" i="0" u="none">
                    <a:solidFill>
                      <a:sysClr val="windowText" lastClr="000000"/>
                    </a:solidFill>
                    <a:latin typeface="+mn-lt"/>
                    <a:ea typeface="+mn-lt"/>
                    <a:cs typeface="+mn-lt"/>
                  </a:rPr>
                  <a:t>Amount</a:t>
                </a:r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'Income &amp; Expenditure'!$C$34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1"/>
          <c:cat>
            <c:strRef>
              <c:f>'Income &amp; Expenditure'!$B$35:$B$42</c:f>
              <c:strCache>
                <c:ptCount val="8"/>
                <c:pt idx="0">
                  <c:v>O-Week</c:v>
                </c:pt>
                <c:pt idx="1">
                  <c:v>Week 1-2</c:v>
                </c:pt>
                <c:pt idx="2">
                  <c:v>Weeks 3-4</c:v>
                </c:pt>
                <c:pt idx="3">
                  <c:v>Weeks 5-6</c:v>
                </c:pt>
                <c:pt idx="4">
                  <c:v>Weeks 7-8</c:v>
                </c:pt>
                <c:pt idx="5">
                  <c:v>Weeks 9-10</c:v>
                </c:pt>
                <c:pt idx="6">
                  <c:v>StuVAC/Exam Period</c:v>
                </c:pt>
                <c:pt idx="7">
                  <c:v>Break (excl. O-Week)</c:v>
                </c:pt>
              </c:strCache>
            </c:strRef>
          </c:cat>
          <c:val>
            <c:numRef>
              <c:f>'Income &amp; Expenditure'!$C$35:$C$42</c:f>
              <c:numCache>
                <c:formatCode>\$#,##0.00</c:formatCode>
                <c:ptCount val="8"/>
                <c:pt idx="0">
                  <c:v>1000</c:v>
                </c:pt>
                <c:pt idx="1">
                  <c:v>580</c:v>
                </c:pt>
                <c:pt idx="2">
                  <c:v>370</c:v>
                </c:pt>
                <c:pt idx="3">
                  <c:v>480</c:v>
                </c:pt>
                <c:pt idx="4">
                  <c:v>170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30-EA40-914B-CC184E189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AU" sz="100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Amount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'Income &amp; Expenditure'!$C$47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1"/>
          <c:cat>
            <c:strRef>
              <c:f>'Income &amp; Expenditure'!$B$48:$B$55</c:f>
              <c:strCache>
                <c:ptCount val="8"/>
                <c:pt idx="0">
                  <c:v>O-Week</c:v>
                </c:pt>
                <c:pt idx="1">
                  <c:v>Week 1-2</c:v>
                </c:pt>
                <c:pt idx="2">
                  <c:v>Weeks 3-4</c:v>
                </c:pt>
                <c:pt idx="3">
                  <c:v>Weeks 5-6</c:v>
                </c:pt>
                <c:pt idx="4">
                  <c:v>Weeks 7-8</c:v>
                </c:pt>
                <c:pt idx="5">
                  <c:v>Weeks 9-10</c:v>
                </c:pt>
                <c:pt idx="6">
                  <c:v>StuVAC/Exam Period</c:v>
                </c:pt>
                <c:pt idx="7">
                  <c:v>Break(excl. O-Week)</c:v>
                </c:pt>
              </c:strCache>
            </c:strRef>
          </c:cat>
          <c:val>
            <c:numRef>
              <c:f>'Income &amp; Expenditure'!$C$48:$C$55</c:f>
              <c:numCache>
                <c:formatCode>\$#,##0.00</c:formatCode>
                <c:ptCount val="8"/>
                <c:pt idx="0">
                  <c:v>500</c:v>
                </c:pt>
                <c:pt idx="1">
                  <c:v>1200</c:v>
                </c:pt>
                <c:pt idx="2">
                  <c:v>900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EF-C14E-B9B1-FB88857F3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AU" sz="100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Amount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8</xdr:row>
      <xdr:rowOff>157162</xdr:rowOff>
    </xdr:from>
    <xdr:to>
      <xdr:col>13</xdr:col>
      <xdr:colOff>342899</xdr:colOff>
      <xdr:row>19</xdr:row>
      <xdr:rowOff>161925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21</xdr:row>
      <xdr:rowOff>157162</xdr:rowOff>
    </xdr:from>
    <xdr:to>
      <xdr:col>13</xdr:col>
      <xdr:colOff>361950</xdr:colOff>
      <xdr:row>31</xdr:row>
      <xdr:rowOff>19050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</xdr:colOff>
      <xdr:row>32</xdr:row>
      <xdr:rowOff>252412</xdr:rowOff>
    </xdr:from>
    <xdr:to>
      <xdr:col>13</xdr:col>
      <xdr:colOff>428625</xdr:colOff>
      <xdr:row>44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23812</xdr:colOff>
      <xdr:row>45</xdr:row>
      <xdr:rowOff>204787</xdr:rowOff>
    </xdr:from>
    <xdr:to>
      <xdr:col>13</xdr:col>
      <xdr:colOff>400050</xdr:colOff>
      <xdr:row>56</xdr:row>
      <xdr:rowOff>171450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2:H61" totalsRowCount="1">
  <autoFilter ref="B12:H60" xr:uid="{00000000-0009-0000-0100-000001000000}"/>
  <tableColumns count="7">
    <tableColumn id="1" xr3:uid="{00000000-0010-0000-0000-000001000000}" name="Date" totalsRowLabel="Total"/>
    <tableColumn id="2" xr3:uid="{00000000-0010-0000-0000-000002000000}" name="Qty"/>
    <tableColumn id="3" xr3:uid="{00000000-0010-0000-0000-000003000000}" name="Item"/>
    <tableColumn id="4" xr3:uid="{00000000-0010-0000-0000-000004000000}" name="Description"/>
    <tableColumn id="5" xr3:uid="{00000000-0010-0000-0000-000005000000}" name="Paid by"/>
    <tableColumn id="6" xr3:uid="{00000000-0010-0000-0000-000006000000}" name="Cost" totalsRowFunction="sum"/>
    <tableColumn id="7" xr3:uid="{00000000-0010-0000-0000-000007000000}" name="Category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" displayName="Table2" ref="M12:S61" totalsRowCount="1">
  <autoFilter ref="M12:S60" xr:uid="{00000000-0009-0000-0100-000003000000}"/>
  <tableColumns count="7">
    <tableColumn id="1" xr3:uid="{00000000-0010-0000-0100-000001000000}" name="Date" totalsRowLabel="Total"/>
    <tableColumn id="2" xr3:uid="{00000000-0010-0000-0100-000002000000}" name="Qty"/>
    <tableColumn id="3" xr3:uid="{00000000-0010-0000-0100-000003000000}" name="Item"/>
    <tableColumn id="4" xr3:uid="{00000000-0010-0000-0100-000004000000}" name="Description"/>
    <tableColumn id="5" xr3:uid="{00000000-0010-0000-0100-000005000000}" name="Paid by"/>
    <tableColumn id="6" xr3:uid="{00000000-0010-0000-0100-000006000000}" name="Cost" totalsRowFunction="sum"/>
    <tableColumn id="7" xr3:uid="{00000000-0010-0000-0100-000007000000}" name="Category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" displayName="Table3" ref="B12:H61" totalsRowCount="1">
  <autoFilter ref="B12:H60" xr:uid="{00000000-0009-0000-0100-000004000000}"/>
  <tableColumns count="7">
    <tableColumn id="1" xr3:uid="{00000000-0010-0000-0200-000001000000}" name="Date" totalsRowLabel="Total"/>
    <tableColumn id="2" xr3:uid="{00000000-0010-0000-0200-000002000000}" name="Qty"/>
    <tableColumn id="3" xr3:uid="{00000000-0010-0000-0200-000003000000}" name="Item"/>
    <tableColumn id="4" xr3:uid="{00000000-0010-0000-0200-000004000000}" name="Description"/>
    <tableColumn id="5" xr3:uid="{00000000-0010-0000-0200-000005000000}" name="Paid by"/>
    <tableColumn id="6" xr3:uid="{00000000-0010-0000-0200-000006000000}" name="Cost" totalsRowFunction="sum"/>
    <tableColumn id="7" xr3:uid="{00000000-0010-0000-0200-000007000000}" name="Category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4" displayName="Table4" ref="M12:S61" totalsRowCount="1">
  <autoFilter ref="M12:S60" xr:uid="{00000000-0009-0000-0100-000005000000}"/>
  <tableColumns count="7">
    <tableColumn id="1" xr3:uid="{00000000-0010-0000-0300-000001000000}" name="Date" totalsRowLabel="Total"/>
    <tableColumn id="2" xr3:uid="{00000000-0010-0000-0300-000002000000}" name="Qty"/>
    <tableColumn id="3" xr3:uid="{00000000-0010-0000-0300-000003000000}" name="Item"/>
    <tableColumn id="4" xr3:uid="{00000000-0010-0000-0300-000004000000}" name="Description"/>
    <tableColumn id="5" xr3:uid="{00000000-0010-0000-0300-000005000000}" name="Paid by"/>
    <tableColumn id="6" xr3:uid="{00000000-0010-0000-0300-000006000000}" name="Cost" totalsRowFunction="sum"/>
    <tableColumn id="7" xr3:uid="{00000000-0010-0000-0300-000007000000}" name="Category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5" displayName="Table5" ref="B12:H61" totalsRowCount="1">
  <autoFilter ref="B12:H60" xr:uid="{00000000-0009-0000-0100-000006000000}"/>
  <tableColumns count="7">
    <tableColumn id="1" xr3:uid="{00000000-0010-0000-0400-000001000000}" name="Date" totalsRowLabel="Total"/>
    <tableColumn id="2" xr3:uid="{00000000-0010-0000-0400-000002000000}" name="Qty"/>
    <tableColumn id="3" xr3:uid="{00000000-0010-0000-0400-000003000000}" name="Item"/>
    <tableColumn id="4" xr3:uid="{00000000-0010-0000-0400-000004000000}" name="Description"/>
    <tableColumn id="5" xr3:uid="{00000000-0010-0000-0400-000005000000}" name="Paid by"/>
    <tableColumn id="6" xr3:uid="{00000000-0010-0000-0400-000006000000}" name="Cost" totalsRowFunction="sum"/>
    <tableColumn id="7" xr3:uid="{00000000-0010-0000-0400-000007000000}" name="Category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6" displayName="Table6" ref="M12:S61" totalsRowCount="1">
  <autoFilter ref="M12:S60" xr:uid="{00000000-0009-0000-0100-000007000000}"/>
  <tableColumns count="7">
    <tableColumn id="1" xr3:uid="{00000000-0010-0000-0500-000001000000}" name="Date" totalsRowLabel="Total"/>
    <tableColumn id="2" xr3:uid="{00000000-0010-0000-0500-000002000000}" name="Qty"/>
    <tableColumn id="3" xr3:uid="{00000000-0010-0000-0500-000003000000}" name="Item"/>
    <tableColumn id="4" xr3:uid="{00000000-0010-0000-0500-000004000000}" name="Description"/>
    <tableColumn id="5" xr3:uid="{00000000-0010-0000-0500-000005000000}" name="Paid by"/>
    <tableColumn id="6" xr3:uid="{00000000-0010-0000-0500-000006000000}" name="Cost" totalsRowFunction="sum"/>
    <tableColumn id="7" xr3:uid="{00000000-0010-0000-0500-000007000000}" name="Category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7" displayName="Table7" ref="B11:C19" totalsRowCount="1">
  <autoFilter ref="B11:C18" xr:uid="{00000000-0009-0000-0100-000008000000}"/>
  <tableColumns count="2">
    <tableColumn id="1" xr3:uid="{00000000-0010-0000-0600-000001000000}" name="Category" totalsRowLabel="Total"/>
    <tableColumn id="5" xr3:uid="{00000000-0010-0000-0600-000005000000}" name="Amount" totalsRowFunction="sum"/>
  </tableColumns>
  <tableStyleInfo name="TableStyleLight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17911" displayName="Table17911" ref="B23:C30" totalsRowCount="1">
  <autoFilter ref="B23:C29" xr:uid="{00000000-0009-0000-0100-000009000000}"/>
  <tableColumns count="2">
    <tableColumn id="1" xr3:uid="{00000000-0010-0000-0700-000001000000}" name="Category" totalsRowLabel="Total"/>
    <tableColumn id="5" xr3:uid="{00000000-0010-0000-0700-000005000000}" name="Amount" totalsRowFunction="sum"/>
  </tableColumns>
  <tableStyleInfo name="TableStyleLight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e1791111" displayName="Table1791111" ref="B34:C43">
  <tableColumns count="2">
    <tableColumn id="1" xr3:uid="{00000000-0010-0000-0800-000001000000}" name="Category" totalsRowLabel="Total"/>
    <tableColumn id="5" xr3:uid="{00000000-0010-0000-0800-000005000000}" name="Amount" totalsRowFunction="sum"/>
  </tableColumns>
  <tableStyleInfo name="TableStyleLight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9000000}" name="Table179111115" displayName="Table179111115" ref="B47:C56">
  <tableColumns count="2">
    <tableColumn id="1" xr3:uid="{00000000-0010-0000-0900-000001000000}" name="Category" totalsRowLabel="Total"/>
    <tableColumn id="5" xr3:uid="{00000000-0010-0000-0900-000005000000}" name="Amount" totalsRowFunction="sum"/>
  </tableColumns>
  <tableStyleInfo name="TableStyleLight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B4:G17">
  <autoFilter ref="B4:G17" xr:uid="{00000000-0009-0000-0100-00000B000000}"/>
  <tableColumns count="6">
    <tableColumn id="1" xr3:uid="{00000000-0010-0000-0A00-000001000000}" name="TERM 1"/>
    <tableColumn id="6" xr3:uid="{00000000-0010-0000-0A00-000006000000}" name="2022"/>
    <tableColumn id="2" xr3:uid="{00000000-0010-0000-0A00-000002000000}" name="2023"/>
    <tableColumn id="3" xr3:uid="{00000000-0010-0000-0A00-000003000000}" name="2024"/>
    <tableColumn id="4" xr3:uid="{00000000-0010-0000-0A00-000004000000}" name="2025"/>
    <tableColumn id="5" xr3:uid="{00000000-0010-0000-0A00-000005000000}" name="2026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B19:G32">
  <autoFilter ref="B19:G32" xr:uid="{00000000-0009-0000-0100-00000C000000}"/>
  <tableColumns count="6">
    <tableColumn id="1" xr3:uid="{00000000-0010-0000-0B00-000001000000}" name="TERM 2"/>
    <tableColumn id="6" xr3:uid="{00000000-0010-0000-0B00-000006000000}" name="2022"/>
    <tableColumn id="2" xr3:uid="{00000000-0010-0000-0B00-000002000000}" name="2023"/>
    <tableColumn id="3" xr3:uid="{00000000-0010-0000-0B00-000003000000}" name="2024"/>
    <tableColumn id="4" xr3:uid="{00000000-0010-0000-0B00-000004000000}" name="2025"/>
    <tableColumn id="5" xr3:uid="{00000000-0010-0000-0B00-000005000000}" name="2026"/>
  </tableColumns>
  <tableStyleInfo name="TableStyleLight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B34:G47">
  <autoFilter ref="B34:G47" xr:uid="{00000000-0009-0000-0100-00000D000000}"/>
  <tableColumns count="6">
    <tableColumn id="1" xr3:uid="{00000000-0010-0000-0C00-000001000000}" name="TERM 3"/>
    <tableColumn id="6" xr3:uid="{00000000-0010-0000-0C00-000006000000}" name="2022"/>
    <tableColumn id="2" xr3:uid="{00000000-0010-0000-0C00-000002000000}" name="2023"/>
    <tableColumn id="3" xr3:uid="{00000000-0010-0000-0C00-000003000000}" name="2024"/>
    <tableColumn id="4" xr3:uid="{00000000-0010-0000-0C00-000004000000}" name="2025"/>
    <tableColumn id="5" xr3:uid="{00000000-0010-0000-0C00-000005000000}" name="2026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9"/>
  <sheetViews>
    <sheetView showGridLines="0" topLeftCell="A15" workbookViewId="0"/>
  </sheetViews>
  <sheetFormatPr baseColWidth="10" defaultColWidth="8.83203125" defaultRowHeight="15" x14ac:dyDescent="0.2"/>
  <cols>
    <col min="2" max="3" width="13.5" customWidth="1"/>
    <col min="4" max="4" width="14.5" customWidth="1"/>
    <col min="5" max="5" width="25" customWidth="1"/>
    <col min="6" max="6" width="13.5" customWidth="1"/>
    <col min="7" max="7" width="11.5" customWidth="1"/>
    <col min="8" max="8" width="17.83203125" customWidth="1"/>
    <col min="9" max="9" width="2.6640625" customWidth="1"/>
    <col min="11" max="11" width="0.83203125" style="11" customWidth="1"/>
    <col min="12" max="12" width="11.1640625" customWidth="1"/>
    <col min="13" max="14" width="13.5" customWidth="1"/>
    <col min="15" max="15" width="14.5" customWidth="1"/>
    <col min="16" max="16" width="25" customWidth="1"/>
    <col min="17" max="17" width="13.5" customWidth="1"/>
    <col min="18" max="18" width="11.5" customWidth="1"/>
    <col min="19" max="19" width="17.83203125" customWidth="1"/>
    <col min="20" max="20" width="2.6640625" customWidth="1"/>
  </cols>
  <sheetData>
    <row r="1" spans="2:21" x14ac:dyDescent="0.2">
      <c r="K1" s="12"/>
    </row>
    <row r="2" spans="2:21" x14ac:dyDescent="0.2">
      <c r="K2" s="12"/>
    </row>
    <row r="3" spans="2:21" ht="51.75" customHeight="1" x14ac:dyDescent="0.2">
      <c r="B3" s="42" t="s">
        <v>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4"/>
    </row>
    <row r="4" spans="2:21" x14ac:dyDescent="0.2">
      <c r="K4" s="12"/>
    </row>
    <row r="5" spans="2:21" ht="33.75" customHeight="1" x14ac:dyDescent="5.55">
      <c r="B5" s="40" t="s">
        <v>1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</row>
    <row r="6" spans="2:21" x14ac:dyDescent="0.2">
      <c r="K6" s="12"/>
    </row>
    <row r="7" spans="2:21" ht="33.75" customHeight="1" x14ac:dyDescent="0.4">
      <c r="B7" s="39" t="s">
        <v>2</v>
      </c>
      <c r="C7" s="39"/>
      <c r="D7" s="39"/>
      <c r="E7" s="39"/>
      <c r="F7" s="39"/>
      <c r="G7" s="39"/>
      <c r="H7" s="39"/>
      <c r="I7" s="39"/>
      <c r="J7" s="39"/>
      <c r="L7" s="39" t="s">
        <v>3</v>
      </c>
      <c r="M7" s="39"/>
      <c r="N7" s="39"/>
      <c r="O7" s="39"/>
      <c r="P7" s="39"/>
      <c r="Q7" s="39"/>
      <c r="R7" s="39"/>
      <c r="S7" s="39"/>
    </row>
    <row r="8" spans="2:21" ht="4.5" customHeight="1" x14ac:dyDescent="0.2">
      <c r="B8" s="11"/>
      <c r="C8" s="11"/>
      <c r="D8" s="11"/>
      <c r="E8" s="11"/>
      <c r="F8" s="11"/>
      <c r="G8" s="11"/>
      <c r="H8" s="11"/>
      <c r="I8" s="11"/>
      <c r="J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2:21" ht="16" x14ac:dyDescent="0.2">
      <c r="B9" s="13" t="s">
        <v>4</v>
      </c>
      <c r="H9" s="35">
        <f>SUM(G13:G69)</f>
        <v>1600</v>
      </c>
      <c r="I9" s="8"/>
      <c r="M9" s="13" t="s">
        <v>5</v>
      </c>
      <c r="S9" s="35">
        <f>SUM(R13:R69)</f>
        <v>1800</v>
      </c>
      <c r="T9" s="8"/>
    </row>
    <row r="12" spans="2:21" ht="19" x14ac:dyDescent="0.2">
      <c r="B12" s="14" t="s">
        <v>6</v>
      </c>
      <c r="C12" s="14" t="s">
        <v>7</v>
      </c>
      <c r="D12" s="14" t="s">
        <v>8</v>
      </c>
      <c r="E12" s="15" t="s">
        <v>9</v>
      </c>
      <c r="F12" s="15" t="s">
        <v>10</v>
      </c>
      <c r="G12" s="14" t="s">
        <v>11</v>
      </c>
      <c r="H12" s="14" t="s">
        <v>12</v>
      </c>
      <c r="M12" s="14" t="s">
        <v>6</v>
      </c>
      <c r="N12" s="14" t="s">
        <v>7</v>
      </c>
      <c r="O12" s="14" t="s">
        <v>8</v>
      </c>
      <c r="P12" s="15" t="s">
        <v>9</v>
      </c>
      <c r="Q12" s="15" t="s">
        <v>10</v>
      </c>
      <c r="R12" s="14" t="s">
        <v>11</v>
      </c>
      <c r="S12" s="14" t="s">
        <v>12</v>
      </c>
    </row>
    <row r="13" spans="2:21" ht="32" x14ac:dyDescent="0.2">
      <c r="B13" s="27">
        <v>46272</v>
      </c>
      <c r="C13">
        <v>10</v>
      </c>
      <c r="D13" s="30" t="s">
        <v>70</v>
      </c>
      <c r="E13" s="31" t="s">
        <v>71</v>
      </c>
      <c r="F13" s="2" t="s">
        <v>72</v>
      </c>
      <c r="G13" s="29">
        <v>750</v>
      </c>
      <c r="H13" s="3" t="s">
        <v>26</v>
      </c>
      <c r="I13" s="3"/>
      <c r="M13" s="27">
        <v>46272</v>
      </c>
      <c r="N13">
        <v>100</v>
      </c>
      <c r="O13" s="30" t="s">
        <v>73</v>
      </c>
      <c r="P13" s="31" t="s">
        <v>74</v>
      </c>
      <c r="Q13" s="2" t="s">
        <v>72</v>
      </c>
      <c r="R13" s="29">
        <v>500</v>
      </c>
      <c r="S13" s="3" t="s">
        <v>36</v>
      </c>
      <c r="T13" s="3"/>
    </row>
    <row r="14" spans="2:21" ht="32" x14ac:dyDescent="0.2">
      <c r="B14" s="27">
        <v>46272</v>
      </c>
      <c r="C14">
        <v>10</v>
      </c>
      <c r="D14" s="30" t="s">
        <v>75</v>
      </c>
      <c r="E14" s="31" t="s">
        <v>76</v>
      </c>
      <c r="F14" s="2" t="s">
        <v>72</v>
      </c>
      <c r="G14" s="29">
        <v>250</v>
      </c>
      <c r="H14" s="3" t="s">
        <v>26</v>
      </c>
      <c r="I14" s="3"/>
      <c r="M14" s="27">
        <v>46279</v>
      </c>
      <c r="N14">
        <v>1</v>
      </c>
      <c r="O14" s="30" t="s">
        <v>77</v>
      </c>
      <c r="P14" s="31" t="s">
        <v>78</v>
      </c>
      <c r="Q14" s="2" t="s">
        <v>72</v>
      </c>
      <c r="R14" s="29">
        <v>700</v>
      </c>
      <c r="S14" s="3" t="s">
        <v>35</v>
      </c>
      <c r="T14" s="3"/>
    </row>
    <row r="15" spans="2:21" ht="32" x14ac:dyDescent="0.2">
      <c r="B15" s="27">
        <v>46279</v>
      </c>
      <c r="C15">
        <v>1</v>
      </c>
      <c r="D15" s="30" t="s">
        <v>79</v>
      </c>
      <c r="E15" s="31" t="s">
        <v>80</v>
      </c>
      <c r="F15" s="2" t="s">
        <v>72</v>
      </c>
      <c r="G15" s="29">
        <v>250</v>
      </c>
      <c r="H15" s="3" t="s">
        <v>26</v>
      </c>
      <c r="I15" s="3"/>
      <c r="M15" s="27">
        <v>46305</v>
      </c>
      <c r="N15">
        <v>30</v>
      </c>
      <c r="O15" s="30" t="s">
        <v>81</v>
      </c>
      <c r="P15" s="31" t="s">
        <v>82</v>
      </c>
      <c r="Q15" s="2" t="s">
        <v>72</v>
      </c>
      <c r="R15" s="29">
        <v>300</v>
      </c>
      <c r="S15" s="3" t="s">
        <v>34</v>
      </c>
      <c r="T15" s="3"/>
    </row>
    <row r="16" spans="2:21" ht="32" x14ac:dyDescent="0.2">
      <c r="B16" s="27">
        <v>46286</v>
      </c>
      <c r="C16">
        <v>1</v>
      </c>
      <c r="D16" s="30" t="s">
        <v>83</v>
      </c>
      <c r="E16" s="31" t="s">
        <v>84</v>
      </c>
      <c r="F16" s="2" t="s">
        <v>72</v>
      </c>
      <c r="G16" s="29">
        <v>80</v>
      </c>
      <c r="H16" s="3" t="s">
        <v>29</v>
      </c>
      <c r="I16" s="3"/>
      <c r="M16" s="27">
        <v>46296</v>
      </c>
      <c r="N16">
        <v>1</v>
      </c>
      <c r="O16" s="30" t="s">
        <v>85</v>
      </c>
      <c r="P16" s="31" t="s">
        <v>86</v>
      </c>
      <c r="Q16" s="2" t="s">
        <v>72</v>
      </c>
      <c r="R16" s="29">
        <v>300</v>
      </c>
      <c r="S16" s="3" t="s">
        <v>37</v>
      </c>
      <c r="T16" s="3"/>
    </row>
    <row r="17" spans="2:20" ht="32" x14ac:dyDescent="0.2">
      <c r="B17" s="27">
        <v>46305</v>
      </c>
      <c r="C17">
        <v>1</v>
      </c>
      <c r="D17" s="30" t="s">
        <v>87</v>
      </c>
      <c r="E17" s="31" t="s">
        <v>88</v>
      </c>
      <c r="F17" s="2" t="s">
        <v>72</v>
      </c>
      <c r="G17" s="29">
        <v>150</v>
      </c>
      <c r="H17" s="3" t="s">
        <v>31</v>
      </c>
      <c r="I17" s="3"/>
      <c r="M17" s="27"/>
      <c r="O17" s="30"/>
      <c r="P17" s="31"/>
      <c r="Q17" s="2"/>
      <c r="R17" s="29"/>
      <c r="S17" s="3"/>
      <c r="T17" s="3"/>
    </row>
    <row r="18" spans="2:20" ht="32" x14ac:dyDescent="0.2">
      <c r="B18" s="27">
        <v>46319</v>
      </c>
      <c r="C18">
        <v>30</v>
      </c>
      <c r="D18" s="30" t="s">
        <v>89</v>
      </c>
      <c r="E18" s="31" t="s">
        <v>90</v>
      </c>
      <c r="F18" s="2" t="s">
        <v>72</v>
      </c>
      <c r="G18" s="29">
        <v>120</v>
      </c>
      <c r="H18" s="3" t="s">
        <v>25</v>
      </c>
      <c r="I18" s="3"/>
      <c r="M18" s="27"/>
      <c r="O18" s="30"/>
      <c r="P18" s="31"/>
      <c r="Q18" s="2"/>
      <c r="R18" s="29"/>
      <c r="S18" s="3"/>
      <c r="T18" s="3"/>
    </row>
    <row r="19" spans="2:20" x14ac:dyDescent="0.2">
      <c r="B19" s="27"/>
      <c r="D19" s="30"/>
      <c r="E19" s="31"/>
      <c r="F19" s="2"/>
      <c r="G19" s="29"/>
      <c r="H19" s="3"/>
      <c r="I19" s="3"/>
      <c r="M19" s="27"/>
      <c r="O19" s="30"/>
      <c r="P19" s="31"/>
      <c r="Q19" s="2"/>
      <c r="R19" s="29"/>
      <c r="S19" s="3"/>
      <c r="T19" s="3"/>
    </row>
    <row r="20" spans="2:20" x14ac:dyDescent="0.2">
      <c r="B20" s="27"/>
      <c r="D20" s="30"/>
      <c r="E20" s="31"/>
      <c r="F20" s="2"/>
      <c r="G20" s="29"/>
      <c r="H20" s="3"/>
      <c r="I20" s="3"/>
      <c r="M20" s="27"/>
      <c r="O20" s="30"/>
      <c r="P20" s="31"/>
      <c r="Q20" s="2"/>
      <c r="R20" s="29"/>
      <c r="S20" s="3"/>
      <c r="T20" s="3"/>
    </row>
    <row r="21" spans="2:20" x14ac:dyDescent="0.2">
      <c r="B21" s="27"/>
      <c r="D21" s="30"/>
      <c r="E21" s="31"/>
      <c r="F21" s="2"/>
      <c r="G21" s="29"/>
      <c r="H21" s="3"/>
      <c r="I21" s="3"/>
      <c r="M21" s="27"/>
      <c r="O21" s="30"/>
      <c r="P21" s="31"/>
      <c r="Q21" s="2"/>
      <c r="R21" s="29"/>
      <c r="S21" s="3"/>
      <c r="T21" s="3"/>
    </row>
    <row r="22" spans="2:20" x14ac:dyDescent="0.2">
      <c r="B22" s="27"/>
      <c r="D22" s="30"/>
      <c r="E22" s="31"/>
      <c r="F22" s="2"/>
      <c r="G22" s="29"/>
      <c r="H22" s="3"/>
      <c r="I22" s="3"/>
      <c r="M22" s="27"/>
      <c r="O22" s="30"/>
      <c r="P22" s="31"/>
      <c r="Q22" s="2"/>
      <c r="R22" s="29"/>
      <c r="S22" s="3"/>
      <c r="T22" s="3"/>
    </row>
    <row r="23" spans="2:20" x14ac:dyDescent="0.2">
      <c r="B23" s="27"/>
      <c r="D23" s="30"/>
      <c r="E23" s="31"/>
      <c r="F23" s="2"/>
      <c r="G23" s="29"/>
      <c r="H23" s="3"/>
      <c r="I23" s="3"/>
      <c r="M23" s="27"/>
      <c r="O23" s="30"/>
      <c r="P23" s="31"/>
      <c r="Q23" s="2"/>
      <c r="R23" s="29"/>
      <c r="S23" s="3"/>
      <c r="T23" s="3"/>
    </row>
    <row r="24" spans="2:20" x14ac:dyDescent="0.2">
      <c r="B24" s="27"/>
      <c r="D24" s="30"/>
      <c r="E24" s="31"/>
      <c r="F24" s="2"/>
      <c r="G24" s="29"/>
      <c r="H24" s="3"/>
      <c r="I24" s="3"/>
      <c r="M24" s="27"/>
      <c r="O24" s="30"/>
      <c r="P24" s="31"/>
      <c r="Q24" s="2"/>
      <c r="R24" s="29"/>
      <c r="S24" s="3"/>
      <c r="T24" s="3"/>
    </row>
    <row r="25" spans="2:20" x14ac:dyDescent="0.2">
      <c r="B25" s="27"/>
      <c r="D25" s="30"/>
      <c r="E25" s="31"/>
      <c r="F25" s="2"/>
      <c r="G25" s="29"/>
      <c r="H25" s="3"/>
      <c r="I25" s="3"/>
      <c r="M25" s="27"/>
      <c r="O25" s="30"/>
      <c r="P25" s="31"/>
      <c r="Q25" s="2"/>
      <c r="R25" s="29"/>
      <c r="S25" s="3"/>
      <c r="T25" s="3"/>
    </row>
    <row r="26" spans="2:20" x14ac:dyDescent="0.2">
      <c r="B26" s="27"/>
      <c r="D26" s="30"/>
      <c r="E26" s="31"/>
      <c r="F26" s="2"/>
      <c r="G26" s="29"/>
      <c r="H26" s="3"/>
      <c r="I26" s="3"/>
      <c r="M26" s="27"/>
      <c r="O26" s="30"/>
      <c r="P26" s="31"/>
      <c r="Q26" s="2"/>
      <c r="R26" s="29"/>
      <c r="S26" s="3"/>
      <c r="T26" s="3"/>
    </row>
    <row r="27" spans="2:20" x14ac:dyDescent="0.2">
      <c r="B27" s="27"/>
      <c r="D27" s="30"/>
      <c r="E27" s="31"/>
      <c r="F27" s="2"/>
      <c r="G27" s="29"/>
      <c r="H27" s="3"/>
      <c r="I27" s="3"/>
      <c r="M27" s="27"/>
      <c r="O27" s="30"/>
      <c r="P27" s="31"/>
      <c r="Q27" s="2"/>
      <c r="R27" s="29"/>
      <c r="S27" s="3"/>
      <c r="T27" s="3"/>
    </row>
    <row r="28" spans="2:20" x14ac:dyDescent="0.2">
      <c r="B28" s="27"/>
      <c r="D28" s="30"/>
      <c r="E28" s="31"/>
      <c r="F28" s="2"/>
      <c r="G28" s="29"/>
      <c r="H28" s="3"/>
      <c r="I28" s="3"/>
      <c r="M28" s="27"/>
      <c r="O28" s="30"/>
      <c r="P28" s="31"/>
      <c r="Q28" s="2"/>
      <c r="R28" s="29"/>
      <c r="S28" s="3"/>
      <c r="T28" s="3"/>
    </row>
    <row r="29" spans="2:20" x14ac:dyDescent="0.2">
      <c r="B29" s="27"/>
      <c r="D29" s="30"/>
      <c r="E29" s="31"/>
      <c r="F29" s="2"/>
      <c r="G29" s="29"/>
      <c r="H29" s="3"/>
      <c r="I29" s="3"/>
      <c r="M29" s="27"/>
      <c r="O29" s="30"/>
      <c r="P29" s="31"/>
      <c r="Q29" s="2"/>
      <c r="R29" s="29"/>
      <c r="S29" s="3"/>
      <c r="T29" s="3"/>
    </row>
    <row r="30" spans="2:20" x14ac:dyDescent="0.2">
      <c r="B30" s="27"/>
      <c r="D30" s="30"/>
      <c r="E30" s="31"/>
      <c r="F30" s="2"/>
      <c r="G30" s="29"/>
      <c r="H30" s="3"/>
      <c r="I30" s="3"/>
      <c r="M30" s="27"/>
      <c r="O30" s="30"/>
      <c r="P30" s="31"/>
      <c r="Q30" s="2"/>
      <c r="R30" s="29"/>
      <c r="S30" s="3"/>
      <c r="T30" s="3"/>
    </row>
    <row r="31" spans="2:20" x14ac:dyDescent="0.2">
      <c r="B31" s="27"/>
      <c r="D31" s="30"/>
      <c r="E31" s="31"/>
      <c r="F31" s="2"/>
      <c r="G31" s="29"/>
      <c r="H31" s="3"/>
      <c r="I31" s="3"/>
      <c r="M31" s="27"/>
      <c r="O31" s="30"/>
      <c r="P31" s="31"/>
      <c r="Q31" s="2"/>
      <c r="R31" s="29"/>
      <c r="S31" s="3"/>
      <c r="T31" s="3"/>
    </row>
    <row r="32" spans="2:20" x14ac:dyDescent="0.2">
      <c r="B32" s="27"/>
      <c r="D32" s="30"/>
      <c r="E32" s="31"/>
      <c r="F32" s="2"/>
      <c r="G32" s="29"/>
      <c r="H32" s="3"/>
      <c r="I32" s="3"/>
      <c r="M32" s="27"/>
      <c r="O32" s="30"/>
      <c r="P32" s="31"/>
      <c r="Q32" s="2"/>
      <c r="R32" s="29"/>
      <c r="S32" s="3"/>
      <c r="T32" s="3"/>
    </row>
    <row r="33" spans="2:20" x14ac:dyDescent="0.2">
      <c r="B33" s="27"/>
      <c r="D33" s="30"/>
      <c r="E33" s="31"/>
      <c r="F33" s="2"/>
      <c r="G33" s="29"/>
      <c r="H33" s="3"/>
      <c r="I33" s="3"/>
      <c r="M33" s="27"/>
      <c r="O33" s="30"/>
      <c r="P33" s="31"/>
      <c r="Q33" s="2"/>
      <c r="R33" s="29"/>
      <c r="S33" s="3"/>
      <c r="T33" s="3"/>
    </row>
    <row r="34" spans="2:20" x14ac:dyDescent="0.2">
      <c r="B34" s="27"/>
      <c r="D34" s="30"/>
      <c r="E34" s="31"/>
      <c r="F34" s="2"/>
      <c r="G34" s="29"/>
      <c r="H34" s="3"/>
      <c r="I34" s="3"/>
      <c r="M34" s="27"/>
      <c r="O34" s="30"/>
      <c r="P34" s="31"/>
      <c r="Q34" s="2"/>
      <c r="R34" s="29"/>
      <c r="S34" s="3"/>
      <c r="T34" s="3"/>
    </row>
    <row r="35" spans="2:20" x14ac:dyDescent="0.2">
      <c r="B35" s="27"/>
      <c r="D35" s="30"/>
      <c r="E35" s="31"/>
      <c r="F35" s="2"/>
      <c r="G35" s="29"/>
      <c r="H35" s="3"/>
      <c r="I35" s="3"/>
      <c r="M35" s="27"/>
      <c r="O35" s="30"/>
      <c r="P35" s="31"/>
      <c r="Q35" s="2"/>
      <c r="R35" s="29"/>
      <c r="S35" s="3"/>
      <c r="T35" s="3"/>
    </row>
    <row r="36" spans="2:20" x14ac:dyDescent="0.2">
      <c r="B36" s="27"/>
      <c r="D36" s="30"/>
      <c r="E36" s="31"/>
      <c r="F36" s="2"/>
      <c r="G36" s="29"/>
      <c r="H36" s="3"/>
      <c r="I36" s="3"/>
      <c r="M36" s="27"/>
      <c r="O36" s="30"/>
      <c r="P36" s="31"/>
      <c r="Q36" s="2"/>
      <c r="R36" s="29"/>
      <c r="S36" s="3"/>
      <c r="T36" s="3"/>
    </row>
    <row r="37" spans="2:20" x14ac:dyDescent="0.2">
      <c r="B37" s="27"/>
      <c r="D37" s="30"/>
      <c r="E37" s="31"/>
      <c r="F37" s="2"/>
      <c r="G37" s="29"/>
      <c r="H37" s="3"/>
      <c r="I37" s="3"/>
      <c r="M37" s="27"/>
      <c r="O37" s="30"/>
      <c r="P37" s="31"/>
      <c r="Q37" s="2"/>
      <c r="R37" s="29"/>
      <c r="S37" s="3"/>
      <c r="T37" s="3"/>
    </row>
    <row r="38" spans="2:20" x14ac:dyDescent="0.2">
      <c r="B38" s="27"/>
      <c r="D38" s="30"/>
      <c r="E38" s="31"/>
      <c r="F38" s="2"/>
      <c r="G38" s="29"/>
      <c r="H38" s="3"/>
      <c r="I38" s="3"/>
      <c r="M38" s="27"/>
      <c r="O38" s="30"/>
      <c r="P38" s="31"/>
      <c r="Q38" s="2"/>
      <c r="R38" s="29"/>
      <c r="S38" s="3"/>
      <c r="T38" s="3"/>
    </row>
    <row r="39" spans="2:20" x14ac:dyDescent="0.2">
      <c r="B39" s="27"/>
      <c r="D39" s="30"/>
      <c r="E39" s="31"/>
      <c r="F39" s="2"/>
      <c r="G39" s="29"/>
      <c r="H39" s="3"/>
      <c r="I39" s="3"/>
      <c r="M39" s="27"/>
      <c r="O39" s="30"/>
      <c r="P39" s="31"/>
      <c r="Q39" s="2"/>
      <c r="R39" s="29"/>
      <c r="S39" s="3"/>
      <c r="T39" s="3"/>
    </row>
    <row r="40" spans="2:20" x14ac:dyDescent="0.2">
      <c r="B40" s="27"/>
      <c r="D40" s="30"/>
      <c r="E40" s="31"/>
      <c r="F40" s="2"/>
      <c r="G40" s="29"/>
      <c r="H40" s="3"/>
      <c r="I40" s="3"/>
      <c r="M40" s="27"/>
      <c r="O40" s="30"/>
      <c r="P40" s="31"/>
      <c r="Q40" s="2"/>
      <c r="R40" s="29"/>
      <c r="S40" s="3"/>
      <c r="T40" s="3"/>
    </row>
    <row r="41" spans="2:20" x14ac:dyDescent="0.2">
      <c r="B41" s="27"/>
      <c r="D41" s="30"/>
      <c r="E41" s="31"/>
      <c r="F41" s="2"/>
      <c r="G41" s="29"/>
      <c r="H41" s="3"/>
      <c r="I41" s="3"/>
      <c r="M41" s="27"/>
      <c r="O41" s="30"/>
      <c r="P41" s="31"/>
      <c r="Q41" s="2"/>
      <c r="R41" s="29"/>
      <c r="S41" s="3"/>
      <c r="T41" s="3"/>
    </row>
    <row r="42" spans="2:20" x14ac:dyDescent="0.2">
      <c r="B42" s="27"/>
      <c r="D42" s="30"/>
      <c r="E42" s="31"/>
      <c r="F42" s="2"/>
      <c r="G42" s="29"/>
      <c r="H42" s="3"/>
      <c r="I42" s="3"/>
      <c r="M42" s="27"/>
      <c r="O42" s="30"/>
      <c r="P42" s="31"/>
      <c r="Q42" s="2"/>
      <c r="R42" s="29"/>
      <c r="S42" s="3"/>
      <c r="T42" s="3"/>
    </row>
    <row r="43" spans="2:20" x14ac:dyDescent="0.2">
      <c r="B43" s="27"/>
      <c r="D43" s="30"/>
      <c r="E43" s="31"/>
      <c r="F43" s="2"/>
      <c r="G43" s="29"/>
      <c r="H43" s="3"/>
      <c r="I43" s="3"/>
      <c r="M43" s="27"/>
      <c r="O43" s="30"/>
      <c r="P43" s="31"/>
      <c r="Q43" s="2"/>
      <c r="R43" s="29"/>
      <c r="S43" s="3"/>
      <c r="T43" s="3"/>
    </row>
    <row r="44" spans="2:20" x14ac:dyDescent="0.2">
      <c r="B44" s="27"/>
      <c r="D44" s="30"/>
      <c r="E44" s="31"/>
      <c r="F44" s="2"/>
      <c r="G44" s="29"/>
      <c r="H44" s="3"/>
      <c r="I44" s="3"/>
      <c r="M44" s="27"/>
      <c r="O44" s="30"/>
      <c r="P44" s="31"/>
      <c r="Q44" s="2"/>
      <c r="R44" s="29"/>
      <c r="S44" s="3"/>
      <c r="T44" s="3"/>
    </row>
    <row r="45" spans="2:20" x14ac:dyDescent="0.2">
      <c r="B45" s="27"/>
      <c r="D45" s="30"/>
      <c r="E45" s="31"/>
      <c r="F45" s="2"/>
      <c r="G45" s="29"/>
      <c r="H45" s="3"/>
      <c r="I45" s="3"/>
      <c r="M45" s="27"/>
      <c r="O45" s="30"/>
      <c r="P45" s="31"/>
      <c r="Q45" s="2"/>
      <c r="R45" s="29"/>
      <c r="S45" s="3"/>
      <c r="T45" s="3"/>
    </row>
    <row r="46" spans="2:20" x14ac:dyDescent="0.2">
      <c r="B46" s="27"/>
      <c r="D46" s="30"/>
      <c r="E46" s="31"/>
      <c r="F46" s="2"/>
      <c r="G46" s="29"/>
      <c r="H46" s="3"/>
      <c r="I46" s="3"/>
      <c r="M46" s="27"/>
      <c r="O46" s="30"/>
      <c r="P46" s="31"/>
      <c r="Q46" s="2"/>
      <c r="R46" s="29"/>
      <c r="S46" s="3"/>
      <c r="T46" s="3"/>
    </row>
    <row r="47" spans="2:20" x14ac:dyDescent="0.2">
      <c r="B47" s="27"/>
      <c r="D47" s="30"/>
      <c r="E47" s="31"/>
      <c r="F47" s="2"/>
      <c r="G47" s="29"/>
      <c r="H47" s="3"/>
      <c r="I47" s="3"/>
      <c r="M47" s="27"/>
      <c r="O47" s="30"/>
      <c r="P47" s="31"/>
      <c r="Q47" s="2"/>
      <c r="R47" s="29"/>
      <c r="S47" s="3"/>
      <c r="T47" s="3"/>
    </row>
    <row r="48" spans="2:20" x14ac:dyDescent="0.2">
      <c r="B48" s="27"/>
      <c r="D48" s="30"/>
      <c r="E48" s="31"/>
      <c r="F48" s="2"/>
      <c r="G48" s="29"/>
      <c r="H48" s="3"/>
      <c r="I48" s="3"/>
      <c r="M48" s="27"/>
      <c r="O48" s="30"/>
      <c r="P48" s="31"/>
      <c r="Q48" s="2"/>
      <c r="R48" s="29"/>
      <c r="S48" s="3"/>
      <c r="T48" s="3"/>
    </row>
    <row r="49" spans="2:21" x14ac:dyDescent="0.2">
      <c r="B49" s="27"/>
      <c r="D49" s="30"/>
      <c r="E49" s="31"/>
      <c r="F49" s="2"/>
      <c r="G49" s="29"/>
      <c r="H49" s="3"/>
      <c r="I49" s="3"/>
      <c r="M49" s="27"/>
      <c r="O49" s="30"/>
      <c r="P49" s="31"/>
      <c r="Q49" s="2"/>
      <c r="R49" s="29"/>
      <c r="S49" s="3"/>
      <c r="T49" s="3"/>
    </row>
    <row r="50" spans="2:21" x14ac:dyDescent="0.2">
      <c r="B50" s="27"/>
      <c r="D50" s="30"/>
      <c r="E50" s="31"/>
      <c r="F50" s="2"/>
      <c r="G50" s="29"/>
      <c r="H50" s="3"/>
      <c r="I50" s="3"/>
      <c r="M50" s="27"/>
      <c r="O50" s="30"/>
      <c r="P50" s="31"/>
      <c r="Q50" s="2"/>
      <c r="R50" s="29"/>
      <c r="S50" s="3"/>
      <c r="T50" s="3"/>
    </row>
    <row r="51" spans="2:21" x14ac:dyDescent="0.2">
      <c r="B51" s="27"/>
      <c r="D51" s="30"/>
      <c r="E51" s="31"/>
      <c r="F51" s="2"/>
      <c r="G51" s="29"/>
      <c r="H51" s="3"/>
      <c r="I51" s="3"/>
      <c r="M51" s="27"/>
      <c r="O51" s="30"/>
      <c r="P51" s="31"/>
      <c r="Q51" s="2"/>
      <c r="R51" s="29"/>
      <c r="S51" s="3"/>
      <c r="T51" s="3"/>
    </row>
    <row r="52" spans="2:21" x14ac:dyDescent="0.2">
      <c r="B52" s="27"/>
      <c r="D52" s="30"/>
      <c r="E52" s="31"/>
      <c r="F52" s="2"/>
      <c r="G52" s="29"/>
      <c r="H52" s="3"/>
      <c r="I52" s="3"/>
      <c r="M52" s="27"/>
      <c r="O52" s="30"/>
      <c r="P52" s="31"/>
      <c r="Q52" s="2"/>
      <c r="R52" s="29"/>
      <c r="S52" s="3"/>
      <c r="T52" s="3"/>
    </row>
    <row r="53" spans="2:21" x14ac:dyDescent="0.2">
      <c r="B53" s="27"/>
      <c r="D53" s="30"/>
      <c r="E53" s="31"/>
      <c r="F53" s="2"/>
      <c r="G53" s="29"/>
      <c r="H53" s="3"/>
      <c r="I53" s="3"/>
      <c r="M53" s="27"/>
      <c r="O53" s="30"/>
      <c r="P53" s="31"/>
      <c r="Q53" s="2"/>
      <c r="R53" s="29"/>
      <c r="S53" s="3"/>
      <c r="T53" s="3"/>
    </row>
    <row r="54" spans="2:21" x14ac:dyDescent="0.2">
      <c r="B54" s="27"/>
      <c r="D54" s="30"/>
      <c r="E54" s="31"/>
      <c r="F54" s="2"/>
      <c r="G54" s="29"/>
      <c r="H54" s="3"/>
      <c r="I54" s="3"/>
      <c r="M54" s="27"/>
      <c r="O54" s="30"/>
      <c r="P54" s="31"/>
      <c r="Q54" s="2"/>
      <c r="R54" s="29"/>
      <c r="S54" s="3"/>
      <c r="T54" s="3"/>
    </row>
    <row r="55" spans="2:21" x14ac:dyDescent="0.2">
      <c r="B55" s="27"/>
      <c r="D55" s="30"/>
      <c r="E55" s="31"/>
      <c r="F55" s="2"/>
      <c r="G55" s="29"/>
      <c r="H55" s="3"/>
      <c r="I55" s="3"/>
      <c r="M55" s="27"/>
      <c r="O55" s="30"/>
      <c r="P55" s="31"/>
      <c r="Q55" s="2"/>
      <c r="R55" s="29"/>
      <c r="S55" s="3"/>
      <c r="T55" s="3"/>
    </row>
    <row r="56" spans="2:21" x14ac:dyDescent="0.2">
      <c r="B56" s="27"/>
      <c r="D56" s="30"/>
      <c r="E56" s="31"/>
      <c r="F56" s="2"/>
      <c r="G56" s="29"/>
      <c r="H56" s="3"/>
      <c r="I56" s="3"/>
      <c r="M56" s="27"/>
      <c r="O56" s="30"/>
      <c r="P56" s="31"/>
      <c r="Q56" s="2"/>
      <c r="R56" s="29"/>
      <c r="S56" s="3"/>
      <c r="T56" s="3"/>
    </row>
    <row r="57" spans="2:21" x14ac:dyDescent="0.2">
      <c r="B57" s="27"/>
      <c r="D57" s="30"/>
      <c r="E57" s="31"/>
      <c r="F57" s="2"/>
      <c r="G57" s="29"/>
      <c r="H57" s="3"/>
      <c r="I57" s="3"/>
      <c r="M57" s="27"/>
      <c r="O57" s="30"/>
      <c r="P57" s="31"/>
      <c r="Q57" s="2"/>
      <c r="R57" s="29"/>
      <c r="S57" s="3"/>
      <c r="T57" s="3"/>
    </row>
    <row r="58" spans="2:21" x14ac:dyDescent="0.2">
      <c r="B58" s="27"/>
      <c r="D58" s="30"/>
      <c r="E58" s="31"/>
      <c r="F58" s="2"/>
      <c r="G58" s="29"/>
      <c r="H58" s="3"/>
      <c r="I58" s="3"/>
      <c r="M58" s="27"/>
      <c r="O58" s="30"/>
      <c r="P58" s="31"/>
      <c r="Q58" s="2"/>
      <c r="R58" s="29"/>
      <c r="S58" s="3"/>
      <c r="T58" s="3"/>
    </row>
    <row r="59" spans="2:21" x14ac:dyDescent="0.2">
      <c r="B59" s="27"/>
      <c r="D59" s="30"/>
      <c r="E59" s="31"/>
      <c r="F59" s="2"/>
      <c r="G59" s="29"/>
      <c r="H59" s="3"/>
      <c r="I59" s="3"/>
      <c r="M59" s="27"/>
      <c r="O59" s="30"/>
      <c r="P59" s="31"/>
      <c r="Q59" s="2"/>
      <c r="R59" s="29"/>
      <c r="S59" s="3"/>
      <c r="T59" s="3"/>
    </row>
    <row r="60" spans="2:21" ht="16" x14ac:dyDescent="0.2">
      <c r="B60" s="28"/>
      <c r="C60" s="4"/>
      <c r="D60" s="32"/>
      <c r="E60" s="33"/>
      <c r="F60" s="5"/>
      <c r="G60" s="29"/>
      <c r="H60" s="6"/>
      <c r="I60" s="6"/>
      <c r="M60" s="28"/>
      <c r="N60" s="4"/>
      <c r="O60" s="32"/>
      <c r="P60" s="33"/>
      <c r="Q60" s="5"/>
      <c r="R60" s="29"/>
      <c r="S60" s="6"/>
      <c r="T60" s="6"/>
    </row>
    <row r="61" spans="2:21" x14ac:dyDescent="0.2">
      <c r="B61" s="27"/>
      <c r="D61" s="30"/>
      <c r="E61" s="31"/>
      <c r="F61" s="7"/>
      <c r="G61" s="29"/>
      <c r="I61" t="s">
        <v>13</v>
      </c>
      <c r="J61" s="38" t="s">
        <v>14</v>
      </c>
      <c r="M61" s="27"/>
      <c r="O61" s="30"/>
      <c r="P61" s="31"/>
      <c r="Q61" s="7"/>
      <c r="R61" s="29"/>
      <c r="T61" t="s">
        <v>13</v>
      </c>
      <c r="U61" s="38" t="s">
        <v>14</v>
      </c>
    </row>
    <row r="62" spans="2:21" x14ac:dyDescent="0.2">
      <c r="B62" s="27"/>
      <c r="D62" s="30"/>
      <c r="E62" s="30"/>
      <c r="G62" s="29"/>
      <c r="J62" s="38"/>
      <c r="M62" s="27"/>
      <c r="O62" s="30"/>
      <c r="P62" s="30"/>
      <c r="R62" s="29"/>
      <c r="U62" s="38"/>
    </row>
    <row r="63" spans="2:21" x14ac:dyDescent="0.2">
      <c r="B63" s="27"/>
      <c r="D63" s="30"/>
      <c r="E63" s="30"/>
      <c r="G63" s="29"/>
      <c r="J63" s="38"/>
      <c r="M63" s="27"/>
      <c r="O63" s="30"/>
      <c r="P63" s="30"/>
      <c r="R63" s="29"/>
      <c r="U63" s="38"/>
    </row>
    <row r="64" spans="2:21" x14ac:dyDescent="0.2">
      <c r="B64" s="27"/>
      <c r="D64" s="30"/>
      <c r="E64" s="30"/>
      <c r="G64" s="29"/>
      <c r="J64" s="38"/>
      <c r="M64" s="27"/>
      <c r="O64" s="30"/>
      <c r="P64" s="30"/>
      <c r="R64" s="29"/>
      <c r="U64" s="38"/>
    </row>
    <row r="65" spans="2:21" x14ac:dyDescent="0.2">
      <c r="B65" s="27"/>
      <c r="D65" s="30"/>
      <c r="E65" s="30"/>
      <c r="G65" s="29"/>
      <c r="J65" s="38"/>
      <c r="M65" s="27"/>
      <c r="O65" s="30"/>
      <c r="P65" s="30"/>
      <c r="R65" s="29"/>
      <c r="U65" s="38"/>
    </row>
    <row r="66" spans="2:21" x14ac:dyDescent="0.2">
      <c r="B66" s="27"/>
      <c r="D66" s="30"/>
      <c r="E66" s="30"/>
      <c r="G66" s="29"/>
      <c r="J66" s="38"/>
      <c r="M66" s="27"/>
      <c r="O66" s="30"/>
      <c r="P66" s="30"/>
      <c r="R66" s="29"/>
      <c r="U66" s="38"/>
    </row>
    <row r="67" spans="2:21" x14ac:dyDescent="0.2">
      <c r="B67" s="27"/>
      <c r="D67" s="30"/>
      <c r="E67" s="30"/>
      <c r="G67" s="29"/>
      <c r="J67" s="38"/>
      <c r="M67" s="27"/>
      <c r="O67" s="30"/>
      <c r="P67" s="30"/>
      <c r="R67" s="29"/>
      <c r="U67" s="38"/>
    </row>
    <row r="68" spans="2:21" x14ac:dyDescent="0.2">
      <c r="B68" s="27"/>
      <c r="D68" s="30"/>
      <c r="E68" s="30"/>
      <c r="G68" s="29"/>
      <c r="J68" s="38"/>
      <c r="M68" s="27"/>
      <c r="O68" s="30"/>
      <c r="P68" s="30"/>
      <c r="R68" s="29"/>
      <c r="U68" s="38"/>
    </row>
    <row r="69" spans="2:21" x14ac:dyDescent="0.2">
      <c r="B69" s="27"/>
      <c r="D69" s="30"/>
      <c r="E69" s="30"/>
      <c r="G69" s="29"/>
      <c r="J69" s="38"/>
      <c r="M69" s="27"/>
      <c r="O69" s="30"/>
      <c r="P69" s="30"/>
      <c r="R69" s="29"/>
      <c r="U69" s="38"/>
    </row>
  </sheetData>
  <mergeCells count="6">
    <mergeCell ref="U61:U69"/>
    <mergeCell ref="B7:J7"/>
    <mergeCell ref="L7:S7"/>
    <mergeCell ref="B5:S5"/>
    <mergeCell ref="B3:S3"/>
    <mergeCell ref="J61:J69"/>
  </mergeCells>
  <dataValidations count="2">
    <dataValidation type="list" allowBlank="1" showInputMessage="1" showErrorMessage="1" sqref="H13:H60" xr:uid="{00000000-0002-0000-0100-000000000000}">
      <formula1>"Food/Non-Alcoholic Drinks, Equipment, Booking/Venue Hire, Merchandise, Administrative Costs, Alcohol, Other"</formula1>
    </dataValidation>
    <dataValidation type="list" allowBlank="1" showInputMessage="1" showErrorMessage="1" sqref="S13:S60" xr:uid="{00000000-0002-0000-0100-000001000000}">
      <formula1>"Sales, Merchandise, Arc Grants, Membership fees, Sponsorship, Other"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69"/>
  <sheetViews>
    <sheetView showGridLines="0" workbookViewId="0"/>
  </sheetViews>
  <sheetFormatPr baseColWidth="10" defaultColWidth="8.83203125" defaultRowHeight="15" x14ac:dyDescent="0.2"/>
  <cols>
    <col min="2" max="3" width="13.5" customWidth="1"/>
    <col min="4" max="4" width="14.5" customWidth="1"/>
    <col min="5" max="5" width="25" customWidth="1"/>
    <col min="6" max="6" width="13.5" customWidth="1"/>
    <col min="7" max="7" width="11.5" customWidth="1"/>
    <col min="8" max="8" width="17.83203125" customWidth="1"/>
    <col min="9" max="9" width="2.6640625" customWidth="1"/>
    <col min="11" max="11" width="0.83203125" style="11" customWidth="1"/>
    <col min="12" max="12" width="11.1640625" customWidth="1"/>
    <col min="13" max="14" width="13.5" customWidth="1"/>
    <col min="15" max="15" width="14.5" customWidth="1"/>
    <col min="16" max="16" width="25" customWidth="1"/>
    <col min="17" max="17" width="13.5" customWidth="1"/>
    <col min="18" max="18" width="11.5" customWidth="1"/>
    <col min="19" max="19" width="17.83203125" customWidth="1"/>
    <col min="20" max="20" width="2.6640625" customWidth="1"/>
  </cols>
  <sheetData>
    <row r="1" spans="2:21" x14ac:dyDescent="0.2">
      <c r="K1" s="12"/>
    </row>
    <row r="2" spans="2:21" x14ac:dyDescent="0.2">
      <c r="K2" s="12"/>
    </row>
    <row r="3" spans="2:21" ht="51.75" customHeight="1" x14ac:dyDescent="0.2">
      <c r="B3" s="45" t="s">
        <v>15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</row>
    <row r="4" spans="2:21" x14ac:dyDescent="0.2">
      <c r="K4" s="12"/>
    </row>
    <row r="5" spans="2:21" ht="33.75" customHeight="1" x14ac:dyDescent="0.2">
      <c r="B5" s="40" t="s">
        <v>16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</row>
    <row r="6" spans="2:21" x14ac:dyDescent="0.2">
      <c r="K6" s="12"/>
    </row>
    <row r="7" spans="2:21" ht="33.75" customHeight="1" x14ac:dyDescent="0.4">
      <c r="B7" s="39" t="s">
        <v>2</v>
      </c>
      <c r="C7" s="39"/>
      <c r="D7" s="39"/>
      <c r="E7" s="39"/>
      <c r="F7" s="39"/>
      <c r="G7" s="39"/>
      <c r="H7" s="39"/>
      <c r="I7" s="39"/>
      <c r="J7" s="39"/>
      <c r="L7" s="39" t="s">
        <v>3</v>
      </c>
      <c r="M7" s="39"/>
      <c r="N7" s="39"/>
      <c r="O7" s="39"/>
      <c r="P7" s="39"/>
      <c r="Q7" s="39"/>
      <c r="R7" s="39"/>
      <c r="S7" s="39"/>
    </row>
    <row r="8" spans="2:21" ht="4.5" customHeight="1" x14ac:dyDescent="0.2">
      <c r="B8" s="11"/>
      <c r="C8" s="11"/>
      <c r="D8" s="11"/>
      <c r="E8" s="11"/>
      <c r="F8" s="11"/>
      <c r="G8" s="11"/>
      <c r="H8" s="11"/>
      <c r="I8" s="11"/>
      <c r="J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2:21" ht="16" x14ac:dyDescent="0.2">
      <c r="B9" s="13" t="s">
        <v>4</v>
      </c>
      <c r="H9" s="35">
        <f>SUM(G13:G69)</f>
        <v>510</v>
      </c>
      <c r="I9" s="8"/>
      <c r="M9" s="13" t="s">
        <v>5</v>
      </c>
      <c r="S9" s="35">
        <f>SUM(R13:R69)</f>
        <v>600</v>
      </c>
      <c r="T9" s="8"/>
    </row>
    <row r="12" spans="2:21" ht="19" x14ac:dyDescent="0.2">
      <c r="B12" s="9" t="s">
        <v>6</v>
      </c>
      <c r="C12" s="9" t="s">
        <v>7</v>
      </c>
      <c r="D12" s="9" t="s">
        <v>8</v>
      </c>
      <c r="E12" s="10" t="s">
        <v>9</v>
      </c>
      <c r="F12" s="10" t="s">
        <v>10</v>
      </c>
      <c r="G12" s="9" t="s">
        <v>11</v>
      </c>
      <c r="H12" s="9" t="s">
        <v>12</v>
      </c>
      <c r="M12" s="9" t="s">
        <v>6</v>
      </c>
      <c r="N12" s="9" t="s">
        <v>7</v>
      </c>
      <c r="O12" s="9" t="s">
        <v>8</v>
      </c>
      <c r="P12" s="10" t="s">
        <v>9</v>
      </c>
      <c r="Q12" s="10" t="s">
        <v>10</v>
      </c>
      <c r="R12" s="9" t="s">
        <v>11</v>
      </c>
      <c r="S12" s="9" t="s">
        <v>12</v>
      </c>
    </row>
    <row r="13" spans="2:21" ht="32" x14ac:dyDescent="0.2">
      <c r="B13" s="27">
        <v>46433</v>
      </c>
      <c r="C13">
        <v>2</v>
      </c>
      <c r="D13" s="30" t="s">
        <v>91</v>
      </c>
      <c r="E13" s="31" t="s">
        <v>92</v>
      </c>
      <c r="F13" s="2" t="s">
        <v>72</v>
      </c>
      <c r="G13" s="29">
        <v>150</v>
      </c>
      <c r="H13" s="3" t="s">
        <v>26</v>
      </c>
      <c r="I13" s="3"/>
      <c r="M13" s="27">
        <v>46433</v>
      </c>
      <c r="N13">
        <v>1</v>
      </c>
      <c r="O13" s="30" t="s">
        <v>77</v>
      </c>
      <c r="P13" s="31" t="s">
        <v>93</v>
      </c>
      <c r="Q13" s="2" t="s">
        <v>72</v>
      </c>
      <c r="R13" s="29">
        <v>300</v>
      </c>
      <c r="S13" s="3" t="s">
        <v>35</v>
      </c>
      <c r="T13" s="3"/>
    </row>
    <row r="14" spans="2:21" ht="32" x14ac:dyDescent="0.2">
      <c r="B14" s="27">
        <v>46452</v>
      </c>
      <c r="C14">
        <v>1</v>
      </c>
      <c r="D14" s="30" t="s">
        <v>87</v>
      </c>
      <c r="E14" s="31" t="s">
        <v>88</v>
      </c>
      <c r="F14" s="2" t="s">
        <v>72</v>
      </c>
      <c r="G14" s="29">
        <v>100</v>
      </c>
      <c r="H14" s="3" t="s">
        <v>31</v>
      </c>
      <c r="I14" s="3"/>
      <c r="M14" s="27">
        <v>46452</v>
      </c>
      <c r="N14">
        <v>20</v>
      </c>
      <c r="O14" s="30" t="s">
        <v>81</v>
      </c>
      <c r="P14" s="31" t="s">
        <v>82</v>
      </c>
      <c r="Q14" s="2" t="s">
        <v>72</v>
      </c>
      <c r="R14" s="29">
        <v>200</v>
      </c>
      <c r="S14" s="3" t="s">
        <v>34</v>
      </c>
      <c r="T14" s="3"/>
    </row>
    <row r="15" spans="2:21" ht="32" x14ac:dyDescent="0.2">
      <c r="B15" s="27">
        <v>46466</v>
      </c>
      <c r="C15">
        <v>1</v>
      </c>
      <c r="D15" s="30" t="s">
        <v>94</v>
      </c>
      <c r="E15" s="31" t="s">
        <v>95</v>
      </c>
      <c r="F15" s="2" t="s">
        <v>72</v>
      </c>
      <c r="G15" s="29">
        <v>100</v>
      </c>
      <c r="H15" s="3" t="s">
        <v>27</v>
      </c>
      <c r="I15" s="3"/>
      <c r="M15" s="27">
        <v>46447</v>
      </c>
      <c r="N15">
        <v>1</v>
      </c>
      <c r="O15" s="30" t="s">
        <v>85</v>
      </c>
      <c r="P15" s="31" t="s">
        <v>96</v>
      </c>
      <c r="Q15" s="2" t="s">
        <v>72</v>
      </c>
      <c r="R15" s="29">
        <v>100</v>
      </c>
      <c r="S15" s="3" t="s">
        <v>37</v>
      </c>
      <c r="T15" s="3"/>
    </row>
    <row r="16" spans="2:21" ht="32" x14ac:dyDescent="0.2">
      <c r="B16" s="27">
        <v>46466</v>
      </c>
      <c r="C16">
        <v>30</v>
      </c>
      <c r="D16" s="30" t="s">
        <v>89</v>
      </c>
      <c r="E16" s="31" t="s">
        <v>97</v>
      </c>
      <c r="F16" s="2" t="s">
        <v>72</v>
      </c>
      <c r="G16" s="29">
        <v>60</v>
      </c>
      <c r="H16" s="3" t="s">
        <v>25</v>
      </c>
      <c r="I16" s="3"/>
      <c r="M16" s="27"/>
      <c r="O16" s="30"/>
      <c r="P16" s="31"/>
      <c r="Q16" s="2"/>
      <c r="R16" s="29"/>
      <c r="S16" s="3"/>
      <c r="T16" s="3"/>
    </row>
    <row r="17" spans="2:20" ht="32" x14ac:dyDescent="0.2">
      <c r="B17" s="27">
        <v>46480</v>
      </c>
      <c r="C17">
        <v>1</v>
      </c>
      <c r="D17" s="30" t="s">
        <v>98</v>
      </c>
      <c r="E17" s="31" t="s">
        <v>99</v>
      </c>
      <c r="F17" s="2" t="s">
        <v>72</v>
      </c>
      <c r="G17" s="29">
        <v>100</v>
      </c>
      <c r="H17" s="3" t="s">
        <v>26</v>
      </c>
      <c r="I17" s="3"/>
      <c r="M17" s="27"/>
      <c r="O17" s="30"/>
      <c r="P17" s="31"/>
      <c r="Q17" s="2"/>
      <c r="R17" s="29"/>
      <c r="S17" s="3"/>
      <c r="T17" s="3"/>
    </row>
    <row r="18" spans="2:20" x14ac:dyDescent="0.2">
      <c r="B18" s="27"/>
      <c r="D18" s="30"/>
      <c r="E18" s="31"/>
      <c r="F18" s="2"/>
      <c r="G18" s="29"/>
      <c r="H18" s="3"/>
      <c r="I18" s="3"/>
      <c r="M18" s="27"/>
      <c r="O18" s="30"/>
      <c r="P18" s="31"/>
      <c r="Q18" s="2"/>
      <c r="R18" s="29"/>
      <c r="S18" s="3"/>
      <c r="T18" s="3"/>
    </row>
    <row r="19" spans="2:20" x14ac:dyDescent="0.2">
      <c r="B19" s="27"/>
      <c r="D19" s="30"/>
      <c r="E19" s="31"/>
      <c r="F19" s="2"/>
      <c r="G19" s="29"/>
      <c r="H19" s="3"/>
      <c r="I19" s="3"/>
      <c r="M19" s="27"/>
      <c r="O19" s="30"/>
      <c r="P19" s="31"/>
      <c r="Q19" s="2"/>
      <c r="R19" s="29"/>
      <c r="S19" s="3"/>
      <c r="T19" s="3"/>
    </row>
    <row r="20" spans="2:20" x14ac:dyDescent="0.2">
      <c r="B20" s="27"/>
      <c r="D20" s="30"/>
      <c r="E20" s="31"/>
      <c r="F20" s="2"/>
      <c r="G20" s="29"/>
      <c r="H20" s="3"/>
      <c r="I20" s="3"/>
      <c r="M20" s="27"/>
      <c r="O20" s="30"/>
      <c r="P20" s="31"/>
      <c r="Q20" s="2"/>
      <c r="R20" s="29"/>
      <c r="S20" s="3"/>
      <c r="T20" s="3"/>
    </row>
    <row r="21" spans="2:20" x14ac:dyDescent="0.2">
      <c r="B21" s="27"/>
      <c r="D21" s="30"/>
      <c r="E21" s="31"/>
      <c r="F21" s="2"/>
      <c r="G21" s="29"/>
      <c r="H21" s="3"/>
      <c r="I21" s="3"/>
      <c r="M21" s="27"/>
      <c r="O21" s="30"/>
      <c r="P21" s="31"/>
      <c r="Q21" s="2"/>
      <c r="R21" s="29"/>
      <c r="S21" s="3"/>
      <c r="T21" s="3"/>
    </row>
    <row r="22" spans="2:20" x14ac:dyDescent="0.2">
      <c r="B22" s="27"/>
      <c r="D22" s="30"/>
      <c r="E22" s="31"/>
      <c r="F22" s="2"/>
      <c r="G22" s="29"/>
      <c r="H22" s="3"/>
      <c r="I22" s="3"/>
      <c r="M22" s="27"/>
      <c r="O22" s="30"/>
      <c r="P22" s="31"/>
      <c r="Q22" s="2"/>
      <c r="R22" s="29"/>
      <c r="S22" s="3"/>
      <c r="T22" s="3"/>
    </row>
    <row r="23" spans="2:20" x14ac:dyDescent="0.2">
      <c r="B23" s="27"/>
      <c r="D23" s="30"/>
      <c r="E23" s="31"/>
      <c r="F23" s="2"/>
      <c r="G23" s="29"/>
      <c r="H23" s="3"/>
      <c r="I23" s="3"/>
      <c r="M23" s="27"/>
      <c r="O23" s="30"/>
      <c r="P23" s="31"/>
      <c r="Q23" s="2"/>
      <c r="R23" s="29"/>
      <c r="S23" s="3"/>
      <c r="T23" s="3"/>
    </row>
    <row r="24" spans="2:20" x14ac:dyDescent="0.2">
      <c r="B24" s="27"/>
      <c r="D24" s="30"/>
      <c r="E24" s="31"/>
      <c r="F24" s="2"/>
      <c r="G24" s="29"/>
      <c r="H24" s="3"/>
      <c r="I24" s="3"/>
      <c r="M24" s="27"/>
      <c r="O24" s="30"/>
      <c r="P24" s="31"/>
      <c r="Q24" s="2"/>
      <c r="R24" s="29"/>
      <c r="S24" s="3"/>
      <c r="T24" s="3"/>
    </row>
    <row r="25" spans="2:20" x14ac:dyDescent="0.2">
      <c r="B25" s="27"/>
      <c r="D25" s="30"/>
      <c r="E25" s="31"/>
      <c r="F25" s="2"/>
      <c r="G25" s="29"/>
      <c r="H25" s="3"/>
      <c r="I25" s="3"/>
      <c r="M25" s="27"/>
      <c r="O25" s="30"/>
      <c r="P25" s="31"/>
      <c r="Q25" s="2"/>
      <c r="R25" s="29"/>
      <c r="S25" s="3"/>
      <c r="T25" s="3"/>
    </row>
    <row r="26" spans="2:20" x14ac:dyDescent="0.2">
      <c r="B26" s="27"/>
      <c r="D26" s="30"/>
      <c r="E26" s="31"/>
      <c r="F26" s="2"/>
      <c r="G26" s="29"/>
      <c r="H26" s="3"/>
      <c r="I26" s="3"/>
      <c r="M26" s="27"/>
      <c r="O26" s="30"/>
      <c r="P26" s="31"/>
      <c r="Q26" s="2"/>
      <c r="R26" s="29"/>
      <c r="S26" s="3"/>
      <c r="T26" s="3"/>
    </row>
    <row r="27" spans="2:20" x14ac:dyDescent="0.2">
      <c r="B27" s="27"/>
      <c r="D27" s="30"/>
      <c r="E27" s="31"/>
      <c r="F27" s="2"/>
      <c r="G27" s="29"/>
      <c r="H27" s="3"/>
      <c r="I27" s="3"/>
      <c r="M27" s="27"/>
      <c r="O27" s="30"/>
      <c r="P27" s="31"/>
      <c r="Q27" s="2"/>
      <c r="R27" s="29"/>
      <c r="S27" s="3"/>
      <c r="T27" s="3"/>
    </row>
    <row r="28" spans="2:20" x14ac:dyDescent="0.2">
      <c r="B28" s="27"/>
      <c r="D28" s="30"/>
      <c r="E28" s="31"/>
      <c r="F28" s="2"/>
      <c r="G28" s="29"/>
      <c r="H28" s="3"/>
      <c r="I28" s="3"/>
      <c r="M28" s="27"/>
      <c r="O28" s="30"/>
      <c r="P28" s="31"/>
      <c r="Q28" s="2"/>
      <c r="R28" s="29"/>
      <c r="S28" s="3"/>
      <c r="T28" s="3"/>
    </row>
    <row r="29" spans="2:20" x14ac:dyDescent="0.2">
      <c r="B29" s="27"/>
      <c r="D29" s="30"/>
      <c r="E29" s="31"/>
      <c r="F29" s="2"/>
      <c r="G29" s="29"/>
      <c r="H29" s="3"/>
      <c r="I29" s="3"/>
      <c r="M29" s="27"/>
      <c r="O29" s="30"/>
      <c r="P29" s="31"/>
      <c r="Q29" s="2"/>
      <c r="R29" s="29"/>
      <c r="S29" s="3"/>
      <c r="T29" s="3"/>
    </row>
    <row r="30" spans="2:20" x14ac:dyDescent="0.2">
      <c r="B30" s="27"/>
      <c r="D30" s="30"/>
      <c r="E30" s="31"/>
      <c r="F30" s="2"/>
      <c r="G30" s="29"/>
      <c r="H30" s="3"/>
      <c r="I30" s="3"/>
      <c r="M30" s="27"/>
      <c r="O30" s="30"/>
      <c r="P30" s="31"/>
      <c r="Q30" s="2"/>
      <c r="R30" s="29"/>
      <c r="S30" s="3"/>
      <c r="T30" s="3"/>
    </row>
    <row r="31" spans="2:20" x14ac:dyDescent="0.2">
      <c r="B31" s="27"/>
      <c r="D31" s="30"/>
      <c r="E31" s="31"/>
      <c r="F31" s="2"/>
      <c r="G31" s="29"/>
      <c r="H31" s="3"/>
      <c r="I31" s="3"/>
      <c r="M31" s="27"/>
      <c r="O31" s="30"/>
      <c r="P31" s="31"/>
      <c r="Q31" s="2"/>
      <c r="R31" s="29"/>
      <c r="S31" s="3"/>
      <c r="T31" s="3"/>
    </row>
    <row r="32" spans="2:20" x14ac:dyDescent="0.2">
      <c r="B32" s="27"/>
      <c r="D32" s="30"/>
      <c r="E32" s="31"/>
      <c r="F32" s="2"/>
      <c r="G32" s="29"/>
      <c r="H32" s="3"/>
      <c r="I32" s="3"/>
      <c r="M32" s="27"/>
      <c r="O32" s="30"/>
      <c r="P32" s="31"/>
      <c r="Q32" s="2"/>
      <c r="R32" s="29"/>
      <c r="S32" s="3"/>
      <c r="T32" s="3"/>
    </row>
    <row r="33" spans="2:20" x14ac:dyDescent="0.2">
      <c r="B33" s="27"/>
      <c r="D33" s="30"/>
      <c r="E33" s="31"/>
      <c r="F33" s="2"/>
      <c r="G33" s="29"/>
      <c r="H33" s="3"/>
      <c r="I33" s="3"/>
      <c r="M33" s="27"/>
      <c r="O33" s="30"/>
      <c r="P33" s="31"/>
      <c r="Q33" s="2"/>
      <c r="R33" s="29"/>
      <c r="S33" s="3"/>
      <c r="T33" s="3"/>
    </row>
    <row r="34" spans="2:20" x14ac:dyDescent="0.2">
      <c r="B34" s="27"/>
      <c r="D34" s="30"/>
      <c r="E34" s="31"/>
      <c r="F34" s="2"/>
      <c r="G34" s="29"/>
      <c r="H34" s="3"/>
      <c r="I34" s="3"/>
      <c r="M34" s="27"/>
      <c r="O34" s="30"/>
      <c r="P34" s="31"/>
      <c r="Q34" s="2"/>
      <c r="R34" s="29"/>
      <c r="S34" s="3"/>
      <c r="T34" s="3"/>
    </row>
    <row r="35" spans="2:20" x14ac:dyDescent="0.2">
      <c r="B35" s="27"/>
      <c r="D35" s="30"/>
      <c r="E35" s="31"/>
      <c r="F35" s="2"/>
      <c r="G35" s="29"/>
      <c r="H35" s="3"/>
      <c r="I35" s="3"/>
      <c r="M35" s="27"/>
      <c r="O35" s="30"/>
      <c r="P35" s="31"/>
      <c r="Q35" s="2"/>
      <c r="R35" s="29"/>
      <c r="S35" s="3"/>
      <c r="T35" s="3"/>
    </row>
    <row r="36" spans="2:20" x14ac:dyDescent="0.2">
      <c r="B36" s="27"/>
      <c r="D36" s="30"/>
      <c r="E36" s="31"/>
      <c r="F36" s="2"/>
      <c r="G36" s="29"/>
      <c r="H36" s="3"/>
      <c r="I36" s="3"/>
      <c r="M36" s="27"/>
      <c r="O36" s="30"/>
      <c r="P36" s="31"/>
      <c r="Q36" s="2"/>
      <c r="R36" s="29"/>
      <c r="S36" s="3"/>
      <c r="T36" s="3"/>
    </row>
    <row r="37" spans="2:20" x14ac:dyDescent="0.2">
      <c r="B37" s="27"/>
      <c r="D37" s="30"/>
      <c r="E37" s="31"/>
      <c r="F37" s="2"/>
      <c r="G37" s="29"/>
      <c r="H37" s="3"/>
      <c r="I37" s="3"/>
      <c r="M37" s="27"/>
      <c r="O37" s="30"/>
      <c r="P37" s="31"/>
      <c r="Q37" s="2"/>
      <c r="R37" s="29"/>
      <c r="S37" s="3"/>
      <c r="T37" s="3"/>
    </row>
    <row r="38" spans="2:20" x14ac:dyDescent="0.2">
      <c r="B38" s="27"/>
      <c r="D38" s="30"/>
      <c r="E38" s="31"/>
      <c r="F38" s="2"/>
      <c r="G38" s="29"/>
      <c r="H38" s="3"/>
      <c r="I38" s="3"/>
      <c r="M38" s="27"/>
      <c r="O38" s="30"/>
      <c r="P38" s="31"/>
      <c r="Q38" s="2"/>
      <c r="R38" s="29"/>
      <c r="S38" s="3"/>
      <c r="T38" s="3"/>
    </row>
    <row r="39" spans="2:20" x14ac:dyDescent="0.2">
      <c r="B39" s="27"/>
      <c r="D39" s="30"/>
      <c r="E39" s="31"/>
      <c r="F39" s="2"/>
      <c r="G39" s="29"/>
      <c r="H39" s="3"/>
      <c r="I39" s="3"/>
      <c r="M39" s="27"/>
      <c r="O39" s="30"/>
      <c r="P39" s="31"/>
      <c r="Q39" s="2"/>
      <c r="R39" s="29"/>
      <c r="S39" s="3"/>
      <c r="T39" s="3"/>
    </row>
    <row r="40" spans="2:20" x14ac:dyDescent="0.2">
      <c r="B40" s="27"/>
      <c r="D40" s="30"/>
      <c r="E40" s="31"/>
      <c r="F40" s="2"/>
      <c r="G40" s="29"/>
      <c r="H40" s="3"/>
      <c r="I40" s="3"/>
      <c r="M40" s="27"/>
      <c r="O40" s="30"/>
      <c r="P40" s="31"/>
      <c r="Q40" s="2"/>
      <c r="R40" s="29"/>
      <c r="S40" s="3"/>
      <c r="T40" s="3"/>
    </row>
    <row r="41" spans="2:20" x14ac:dyDescent="0.2">
      <c r="B41" s="27"/>
      <c r="D41" s="30"/>
      <c r="E41" s="31"/>
      <c r="F41" s="2"/>
      <c r="G41" s="29"/>
      <c r="H41" s="3"/>
      <c r="I41" s="3"/>
      <c r="M41" s="27"/>
      <c r="O41" s="30"/>
      <c r="P41" s="31"/>
      <c r="Q41" s="2"/>
      <c r="R41" s="29"/>
      <c r="S41" s="3"/>
      <c r="T41" s="3"/>
    </row>
    <row r="42" spans="2:20" x14ac:dyDescent="0.2">
      <c r="B42" s="27"/>
      <c r="D42" s="30"/>
      <c r="E42" s="31"/>
      <c r="F42" s="2"/>
      <c r="G42" s="29"/>
      <c r="H42" s="3"/>
      <c r="I42" s="3"/>
      <c r="M42" s="27"/>
      <c r="O42" s="30"/>
      <c r="P42" s="31"/>
      <c r="Q42" s="2"/>
      <c r="R42" s="29"/>
      <c r="S42" s="3"/>
      <c r="T42" s="3"/>
    </row>
    <row r="43" spans="2:20" x14ac:dyDescent="0.2">
      <c r="B43" s="27"/>
      <c r="D43" s="30"/>
      <c r="E43" s="31"/>
      <c r="F43" s="2"/>
      <c r="G43" s="29"/>
      <c r="H43" s="3"/>
      <c r="I43" s="3"/>
      <c r="M43" s="27"/>
      <c r="O43" s="30"/>
      <c r="P43" s="31"/>
      <c r="Q43" s="2"/>
      <c r="R43" s="29"/>
      <c r="S43" s="3"/>
      <c r="T43" s="3"/>
    </row>
    <row r="44" spans="2:20" x14ac:dyDescent="0.2">
      <c r="B44" s="27"/>
      <c r="D44" s="30"/>
      <c r="E44" s="31"/>
      <c r="F44" s="2"/>
      <c r="G44" s="29"/>
      <c r="H44" s="3"/>
      <c r="I44" s="3"/>
      <c r="M44" s="27"/>
      <c r="O44" s="30"/>
      <c r="P44" s="31"/>
      <c r="Q44" s="2"/>
      <c r="R44" s="29"/>
      <c r="S44" s="3"/>
      <c r="T44" s="3"/>
    </row>
    <row r="45" spans="2:20" x14ac:dyDescent="0.2">
      <c r="B45" s="27"/>
      <c r="D45" s="30"/>
      <c r="E45" s="31"/>
      <c r="F45" s="2"/>
      <c r="G45" s="29"/>
      <c r="H45" s="3"/>
      <c r="I45" s="3"/>
      <c r="M45" s="27"/>
      <c r="O45" s="30"/>
      <c r="P45" s="31"/>
      <c r="Q45" s="2"/>
      <c r="R45" s="29"/>
      <c r="S45" s="3"/>
      <c r="T45" s="3"/>
    </row>
    <row r="46" spans="2:20" x14ac:dyDescent="0.2">
      <c r="B46" s="27"/>
      <c r="D46" s="30"/>
      <c r="E46" s="31"/>
      <c r="F46" s="2"/>
      <c r="G46" s="29"/>
      <c r="H46" s="3"/>
      <c r="I46" s="3"/>
      <c r="M46" s="27"/>
      <c r="O46" s="30"/>
      <c r="P46" s="31"/>
      <c r="Q46" s="2"/>
      <c r="R46" s="29"/>
      <c r="S46" s="3"/>
      <c r="T46" s="3"/>
    </row>
    <row r="47" spans="2:20" x14ac:dyDescent="0.2">
      <c r="B47" s="27"/>
      <c r="D47" s="30"/>
      <c r="E47" s="31"/>
      <c r="F47" s="2"/>
      <c r="G47" s="29"/>
      <c r="H47" s="3"/>
      <c r="I47" s="3"/>
      <c r="M47" s="27"/>
      <c r="O47" s="30"/>
      <c r="P47" s="31"/>
      <c r="Q47" s="2"/>
      <c r="R47" s="29"/>
      <c r="S47" s="3"/>
      <c r="T47" s="3"/>
    </row>
    <row r="48" spans="2:20" x14ac:dyDescent="0.2">
      <c r="B48" s="27"/>
      <c r="D48" s="30"/>
      <c r="E48" s="31"/>
      <c r="F48" s="2"/>
      <c r="G48" s="29"/>
      <c r="H48" s="3"/>
      <c r="I48" s="3"/>
      <c r="M48" s="27"/>
      <c r="O48" s="30"/>
      <c r="P48" s="31"/>
      <c r="Q48" s="2"/>
      <c r="R48" s="29"/>
      <c r="S48" s="3"/>
      <c r="T48" s="3"/>
    </row>
    <row r="49" spans="2:21" x14ac:dyDescent="0.2">
      <c r="B49" s="27"/>
      <c r="D49" s="30"/>
      <c r="E49" s="31"/>
      <c r="F49" s="2"/>
      <c r="G49" s="29"/>
      <c r="H49" s="3"/>
      <c r="I49" s="3"/>
      <c r="M49" s="27"/>
      <c r="O49" s="30"/>
      <c r="P49" s="31"/>
      <c r="Q49" s="2"/>
      <c r="R49" s="29"/>
      <c r="S49" s="3"/>
      <c r="T49" s="3"/>
    </row>
    <row r="50" spans="2:21" x14ac:dyDescent="0.2">
      <c r="B50" s="27"/>
      <c r="D50" s="30"/>
      <c r="E50" s="31"/>
      <c r="F50" s="2"/>
      <c r="G50" s="29"/>
      <c r="H50" s="3"/>
      <c r="I50" s="3"/>
      <c r="M50" s="27"/>
      <c r="O50" s="30"/>
      <c r="P50" s="31"/>
      <c r="Q50" s="2"/>
      <c r="R50" s="29"/>
      <c r="S50" s="3"/>
      <c r="T50" s="3"/>
    </row>
    <row r="51" spans="2:21" x14ac:dyDescent="0.2">
      <c r="B51" s="27"/>
      <c r="D51" s="30"/>
      <c r="E51" s="31"/>
      <c r="F51" s="2"/>
      <c r="G51" s="29"/>
      <c r="H51" s="3"/>
      <c r="I51" s="3"/>
      <c r="M51" s="27"/>
      <c r="O51" s="30"/>
      <c r="P51" s="31"/>
      <c r="Q51" s="2"/>
      <c r="R51" s="29"/>
      <c r="S51" s="3"/>
      <c r="T51" s="3"/>
    </row>
    <row r="52" spans="2:21" x14ac:dyDescent="0.2">
      <c r="B52" s="27"/>
      <c r="D52" s="30"/>
      <c r="E52" s="31"/>
      <c r="F52" s="2"/>
      <c r="G52" s="29"/>
      <c r="H52" s="3"/>
      <c r="I52" s="3"/>
      <c r="M52" s="27"/>
      <c r="O52" s="30"/>
      <c r="P52" s="31"/>
      <c r="Q52" s="2"/>
      <c r="R52" s="29"/>
      <c r="S52" s="3"/>
      <c r="T52" s="3"/>
    </row>
    <row r="53" spans="2:21" x14ac:dyDescent="0.2">
      <c r="B53" s="27"/>
      <c r="D53" s="30"/>
      <c r="E53" s="31"/>
      <c r="F53" s="2"/>
      <c r="G53" s="29"/>
      <c r="H53" s="3"/>
      <c r="I53" s="3"/>
      <c r="M53" s="27"/>
      <c r="O53" s="30"/>
      <c r="P53" s="31"/>
      <c r="Q53" s="2"/>
      <c r="R53" s="29"/>
      <c r="S53" s="3"/>
      <c r="T53" s="3"/>
    </row>
    <row r="54" spans="2:21" x14ac:dyDescent="0.2">
      <c r="B54" s="27"/>
      <c r="D54" s="30"/>
      <c r="E54" s="31"/>
      <c r="F54" s="2"/>
      <c r="G54" s="29"/>
      <c r="H54" s="3"/>
      <c r="I54" s="3"/>
      <c r="M54" s="27"/>
      <c r="O54" s="30"/>
      <c r="P54" s="31"/>
      <c r="Q54" s="2"/>
      <c r="R54" s="29"/>
      <c r="S54" s="3"/>
      <c r="T54" s="3"/>
    </row>
    <row r="55" spans="2:21" x14ac:dyDescent="0.2">
      <c r="B55" s="27"/>
      <c r="D55" s="30"/>
      <c r="E55" s="31"/>
      <c r="F55" s="2"/>
      <c r="G55" s="29"/>
      <c r="H55" s="3"/>
      <c r="I55" s="3"/>
      <c r="M55" s="27"/>
      <c r="O55" s="30"/>
      <c r="P55" s="31"/>
      <c r="Q55" s="2"/>
      <c r="R55" s="29"/>
      <c r="S55" s="3"/>
      <c r="T55" s="3"/>
    </row>
    <row r="56" spans="2:21" x14ac:dyDescent="0.2">
      <c r="B56" s="27"/>
      <c r="D56" s="30"/>
      <c r="E56" s="31"/>
      <c r="F56" s="2"/>
      <c r="G56" s="29"/>
      <c r="H56" s="3"/>
      <c r="I56" s="3"/>
      <c r="M56" s="27"/>
      <c r="O56" s="30"/>
      <c r="P56" s="31"/>
      <c r="Q56" s="2"/>
      <c r="R56" s="29"/>
      <c r="S56" s="3"/>
      <c r="T56" s="3"/>
    </row>
    <row r="57" spans="2:21" x14ac:dyDescent="0.2">
      <c r="B57" s="27"/>
      <c r="D57" s="30"/>
      <c r="E57" s="31"/>
      <c r="F57" s="2"/>
      <c r="G57" s="29"/>
      <c r="H57" s="3"/>
      <c r="I57" s="3"/>
      <c r="M57" s="27"/>
      <c r="O57" s="30"/>
      <c r="P57" s="31"/>
      <c r="Q57" s="2"/>
      <c r="R57" s="29"/>
      <c r="S57" s="3"/>
      <c r="T57" s="3"/>
    </row>
    <row r="58" spans="2:21" x14ac:dyDescent="0.2">
      <c r="B58" s="27"/>
      <c r="D58" s="30"/>
      <c r="E58" s="31"/>
      <c r="F58" s="2"/>
      <c r="G58" s="29"/>
      <c r="H58" s="3"/>
      <c r="I58" s="3"/>
      <c r="M58" s="27"/>
      <c r="O58" s="30"/>
      <c r="P58" s="31"/>
      <c r="Q58" s="2"/>
      <c r="R58" s="29"/>
      <c r="S58" s="3"/>
      <c r="T58" s="3"/>
    </row>
    <row r="59" spans="2:21" x14ac:dyDescent="0.2">
      <c r="B59" s="27"/>
      <c r="D59" s="30"/>
      <c r="E59" s="31"/>
      <c r="F59" s="2"/>
      <c r="G59" s="29"/>
      <c r="H59" s="3"/>
      <c r="I59" s="3"/>
      <c r="M59" s="27"/>
      <c r="O59" s="30"/>
      <c r="P59" s="31"/>
      <c r="Q59" s="2"/>
      <c r="R59" s="29"/>
      <c r="S59" s="3"/>
      <c r="T59" s="3"/>
    </row>
    <row r="60" spans="2:21" ht="16" x14ac:dyDescent="0.2">
      <c r="B60" s="28"/>
      <c r="C60" s="4"/>
      <c r="D60" s="32"/>
      <c r="E60" s="33"/>
      <c r="F60" s="5"/>
      <c r="G60" s="29"/>
      <c r="H60" s="6"/>
      <c r="I60" s="6"/>
      <c r="M60" s="28"/>
      <c r="N60" s="4"/>
      <c r="O60" s="32"/>
      <c r="P60" s="33"/>
      <c r="Q60" s="5"/>
      <c r="R60" s="29"/>
      <c r="S60" s="6"/>
      <c r="T60" s="6"/>
    </row>
    <row r="61" spans="2:21" x14ac:dyDescent="0.2">
      <c r="B61" s="27"/>
      <c r="D61" s="30"/>
      <c r="E61" s="31"/>
      <c r="F61" s="7"/>
      <c r="G61" s="29"/>
      <c r="I61" t="s">
        <v>13</v>
      </c>
      <c r="J61" s="38" t="s">
        <v>14</v>
      </c>
      <c r="M61" s="27"/>
      <c r="O61" s="30"/>
      <c r="P61" s="31"/>
      <c r="Q61" s="7"/>
      <c r="R61" s="29"/>
      <c r="T61" t="s">
        <v>13</v>
      </c>
      <c r="U61" s="38" t="s">
        <v>14</v>
      </c>
    </row>
    <row r="62" spans="2:21" x14ac:dyDescent="0.2">
      <c r="B62" s="27"/>
      <c r="D62" s="30"/>
      <c r="E62" s="30"/>
      <c r="G62" s="29"/>
      <c r="J62" s="38"/>
      <c r="M62" s="27"/>
      <c r="O62" s="30"/>
      <c r="P62" s="30"/>
      <c r="R62" s="29"/>
      <c r="U62" s="38"/>
    </row>
    <row r="63" spans="2:21" x14ac:dyDescent="0.2">
      <c r="B63" s="27"/>
      <c r="D63" s="30"/>
      <c r="E63" s="30"/>
      <c r="G63" s="29"/>
      <c r="J63" s="38"/>
      <c r="M63" s="27"/>
      <c r="O63" s="30"/>
      <c r="P63" s="30"/>
      <c r="R63" s="29"/>
      <c r="U63" s="38"/>
    </row>
    <row r="64" spans="2:21" x14ac:dyDescent="0.2">
      <c r="B64" s="27"/>
      <c r="D64" s="30"/>
      <c r="E64" s="30"/>
      <c r="G64" s="29"/>
      <c r="J64" s="38"/>
      <c r="M64" s="27"/>
      <c r="O64" s="30"/>
      <c r="P64" s="30"/>
      <c r="R64" s="29"/>
      <c r="U64" s="38"/>
    </row>
    <row r="65" spans="2:21" x14ac:dyDescent="0.2">
      <c r="B65" s="27"/>
      <c r="D65" s="30"/>
      <c r="E65" s="30"/>
      <c r="G65" s="29"/>
      <c r="J65" s="38"/>
      <c r="M65" s="27"/>
      <c r="O65" s="30"/>
      <c r="P65" s="30"/>
      <c r="R65" s="29"/>
      <c r="U65" s="38"/>
    </row>
    <row r="66" spans="2:21" x14ac:dyDescent="0.2">
      <c r="B66" s="27"/>
      <c r="D66" s="30"/>
      <c r="E66" s="30"/>
      <c r="G66" s="29"/>
      <c r="J66" s="38"/>
      <c r="M66" s="27"/>
      <c r="O66" s="30"/>
      <c r="P66" s="30"/>
      <c r="R66" s="29"/>
      <c r="U66" s="38"/>
    </row>
    <row r="67" spans="2:21" x14ac:dyDescent="0.2">
      <c r="B67" s="27"/>
      <c r="D67" s="30"/>
      <c r="E67" s="30"/>
      <c r="G67" s="29"/>
      <c r="J67" s="38"/>
      <c r="M67" s="27"/>
      <c r="O67" s="30"/>
      <c r="P67" s="30"/>
      <c r="R67" s="29"/>
      <c r="U67" s="38"/>
    </row>
    <row r="68" spans="2:21" x14ac:dyDescent="0.2">
      <c r="B68" s="27"/>
      <c r="D68" s="30"/>
      <c r="E68" s="30"/>
      <c r="G68" s="29"/>
      <c r="J68" s="38"/>
      <c r="M68" s="27"/>
      <c r="O68" s="30"/>
      <c r="P68" s="30"/>
      <c r="R68" s="29"/>
      <c r="U68" s="38"/>
    </row>
    <row r="69" spans="2:21" x14ac:dyDescent="0.2">
      <c r="B69" s="27"/>
      <c r="D69" s="30"/>
      <c r="E69" s="30"/>
      <c r="G69" s="29"/>
      <c r="J69" s="38"/>
      <c r="M69" s="27"/>
      <c r="O69" s="30"/>
      <c r="P69" s="30"/>
      <c r="R69" s="29"/>
      <c r="U69" s="38"/>
    </row>
  </sheetData>
  <mergeCells count="6">
    <mergeCell ref="U61:U69"/>
    <mergeCell ref="B3:S3"/>
    <mergeCell ref="B5:S5"/>
    <mergeCell ref="B7:J7"/>
    <mergeCell ref="L7:S7"/>
    <mergeCell ref="J61:J69"/>
  </mergeCells>
  <dataValidations count="2">
    <dataValidation type="list" allowBlank="1" showInputMessage="1" showErrorMessage="1" sqref="S13:S60" xr:uid="{00000000-0002-0000-0200-000000000000}">
      <formula1>"Sales, Merchandise, Arc Grants, Membership fees, Sponsorship, Other"</formula1>
    </dataValidation>
    <dataValidation type="list" allowBlank="1" showInputMessage="1" showErrorMessage="1" sqref="H13:H60" xr:uid="{00000000-0002-0000-0200-000001000000}">
      <formula1>"Food/Non-Alcoholic Drinks, Equipment, Booking/Venue Hire, Merchandise, Administrative Costs, Alcohol, Other"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69"/>
  <sheetViews>
    <sheetView showGridLines="0" workbookViewId="0"/>
  </sheetViews>
  <sheetFormatPr baseColWidth="10" defaultColWidth="8.83203125" defaultRowHeight="15" x14ac:dyDescent="0.2"/>
  <cols>
    <col min="2" max="3" width="13.5" customWidth="1"/>
    <col min="4" max="4" width="14.5" customWidth="1"/>
    <col min="5" max="5" width="25" customWidth="1"/>
    <col min="6" max="6" width="13.5" customWidth="1"/>
    <col min="7" max="7" width="11.5" customWidth="1"/>
    <col min="8" max="8" width="17.83203125" customWidth="1"/>
    <col min="9" max="9" width="2.6640625" customWidth="1"/>
    <col min="11" max="11" width="0.83203125" style="11" customWidth="1"/>
    <col min="12" max="12" width="11.1640625" customWidth="1"/>
    <col min="13" max="14" width="13.5" customWidth="1"/>
    <col min="15" max="15" width="14.5" customWidth="1"/>
    <col min="16" max="16" width="25" customWidth="1"/>
    <col min="17" max="17" width="13.5" customWidth="1"/>
    <col min="18" max="18" width="11.5" customWidth="1"/>
    <col min="19" max="19" width="17.83203125" customWidth="1"/>
    <col min="20" max="20" width="2.6640625" customWidth="1"/>
  </cols>
  <sheetData>
    <row r="1" spans="2:21" x14ac:dyDescent="0.2">
      <c r="K1" s="12"/>
    </row>
    <row r="2" spans="2:21" x14ac:dyDescent="0.2">
      <c r="K2" s="12"/>
    </row>
    <row r="3" spans="2:21" ht="51.75" customHeight="1" x14ac:dyDescent="0.2">
      <c r="B3" s="48" t="s">
        <v>17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50"/>
    </row>
    <row r="4" spans="2:21" x14ac:dyDescent="0.2">
      <c r="K4" s="12"/>
    </row>
    <row r="5" spans="2:21" ht="33.75" customHeight="1" x14ac:dyDescent="0.2">
      <c r="B5" s="40" t="s">
        <v>18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</row>
    <row r="6" spans="2:21" x14ac:dyDescent="0.2">
      <c r="K6" s="12"/>
    </row>
    <row r="7" spans="2:21" ht="33.75" customHeight="1" x14ac:dyDescent="0.4">
      <c r="B7" s="39" t="s">
        <v>2</v>
      </c>
      <c r="C7" s="39"/>
      <c r="D7" s="39"/>
      <c r="E7" s="39"/>
      <c r="F7" s="39"/>
      <c r="G7" s="39"/>
      <c r="H7" s="39"/>
      <c r="I7" s="39"/>
      <c r="J7" s="39"/>
      <c r="L7" s="39" t="s">
        <v>3</v>
      </c>
      <c r="M7" s="39"/>
      <c r="N7" s="39"/>
      <c r="O7" s="39"/>
      <c r="P7" s="39"/>
      <c r="Q7" s="39"/>
      <c r="R7" s="39"/>
      <c r="S7" s="39"/>
    </row>
    <row r="8" spans="2:21" ht="4.5" customHeight="1" x14ac:dyDescent="0.2">
      <c r="B8" s="11"/>
      <c r="C8" s="11"/>
      <c r="D8" s="11"/>
      <c r="E8" s="11"/>
      <c r="F8" s="11"/>
      <c r="G8" s="11"/>
      <c r="H8" s="11"/>
      <c r="I8" s="11"/>
      <c r="J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2:21" ht="16" x14ac:dyDescent="0.2">
      <c r="B9" s="13" t="s">
        <v>4</v>
      </c>
      <c r="H9" s="35">
        <f>SUM(G13:G69)</f>
        <v>490</v>
      </c>
      <c r="I9" s="8"/>
      <c r="M9" s="13" t="s">
        <v>5</v>
      </c>
      <c r="S9" s="35">
        <f>SUM(R13:R69)</f>
        <v>500</v>
      </c>
      <c r="T9" s="8"/>
    </row>
    <row r="12" spans="2:21" ht="19" x14ac:dyDescent="0.2">
      <c r="B12" s="16" t="s">
        <v>6</v>
      </c>
      <c r="C12" s="16" t="s">
        <v>7</v>
      </c>
      <c r="D12" s="16" t="s">
        <v>8</v>
      </c>
      <c r="E12" s="17" t="s">
        <v>9</v>
      </c>
      <c r="F12" s="17" t="s">
        <v>10</v>
      </c>
      <c r="G12" s="16" t="s">
        <v>11</v>
      </c>
      <c r="H12" s="16" t="s">
        <v>12</v>
      </c>
      <c r="M12" s="16" t="s">
        <v>6</v>
      </c>
      <c r="N12" s="16" t="s">
        <v>7</v>
      </c>
      <c r="O12" s="16" t="s">
        <v>8</v>
      </c>
      <c r="P12" s="17" t="s">
        <v>9</v>
      </c>
      <c r="Q12" s="17" t="s">
        <v>10</v>
      </c>
      <c r="R12" s="16" t="s">
        <v>11</v>
      </c>
      <c r="S12" s="16" t="s">
        <v>12</v>
      </c>
    </row>
    <row r="13" spans="2:21" ht="32" x14ac:dyDescent="0.2">
      <c r="B13" s="27">
        <v>46543</v>
      </c>
      <c r="C13">
        <v>1</v>
      </c>
      <c r="D13" s="30" t="s">
        <v>87</v>
      </c>
      <c r="E13" s="31" t="s">
        <v>88</v>
      </c>
      <c r="F13" s="2" t="s">
        <v>72</v>
      </c>
      <c r="G13" s="29">
        <v>100</v>
      </c>
      <c r="H13" s="3" t="s">
        <v>31</v>
      </c>
      <c r="I13" s="3"/>
      <c r="M13" s="27">
        <v>46543</v>
      </c>
      <c r="N13">
        <v>10</v>
      </c>
      <c r="O13" s="30" t="s">
        <v>81</v>
      </c>
      <c r="P13" s="31" t="s">
        <v>82</v>
      </c>
      <c r="Q13" s="2" t="s">
        <v>72</v>
      </c>
      <c r="R13" s="29">
        <v>100</v>
      </c>
      <c r="S13" s="3" t="s">
        <v>34</v>
      </c>
      <c r="T13" s="3"/>
    </row>
    <row r="14" spans="2:21" ht="32" x14ac:dyDescent="0.2">
      <c r="B14" s="27">
        <v>46557</v>
      </c>
      <c r="C14">
        <v>1</v>
      </c>
      <c r="D14" s="30" t="s">
        <v>100</v>
      </c>
      <c r="E14" s="31" t="s">
        <v>101</v>
      </c>
      <c r="F14" s="2" t="s">
        <v>72</v>
      </c>
      <c r="G14" s="29">
        <v>60</v>
      </c>
      <c r="H14" s="3" t="s">
        <v>27</v>
      </c>
      <c r="I14" s="3"/>
      <c r="M14" s="27">
        <v>46571</v>
      </c>
      <c r="N14">
        <v>10</v>
      </c>
      <c r="O14" s="30" t="s">
        <v>102</v>
      </c>
      <c r="P14" s="31" t="s">
        <v>103</v>
      </c>
      <c r="Q14" s="2" t="s">
        <v>72</v>
      </c>
      <c r="R14" s="29">
        <v>200</v>
      </c>
      <c r="S14" s="3" t="s">
        <v>28</v>
      </c>
      <c r="T14" s="3"/>
    </row>
    <row r="15" spans="2:21" ht="32" x14ac:dyDescent="0.2">
      <c r="B15" s="27">
        <v>46557</v>
      </c>
      <c r="C15">
        <v>30</v>
      </c>
      <c r="D15" s="30" t="s">
        <v>89</v>
      </c>
      <c r="E15" s="31" t="s">
        <v>97</v>
      </c>
      <c r="F15" s="2" t="s">
        <v>72</v>
      </c>
      <c r="G15" s="29">
        <v>60</v>
      </c>
      <c r="H15" s="3" t="s">
        <v>25</v>
      </c>
      <c r="I15" s="3"/>
      <c r="M15" s="27">
        <v>46539</v>
      </c>
      <c r="N15">
        <v>1</v>
      </c>
      <c r="O15" s="30" t="s">
        <v>85</v>
      </c>
      <c r="P15" s="31" t="s">
        <v>96</v>
      </c>
      <c r="Q15" s="2" t="s">
        <v>72</v>
      </c>
      <c r="R15" s="29">
        <v>100</v>
      </c>
      <c r="S15" s="3" t="s">
        <v>37</v>
      </c>
      <c r="T15" s="3"/>
    </row>
    <row r="16" spans="2:21" ht="32" x14ac:dyDescent="0.2">
      <c r="B16" s="27">
        <v>46571</v>
      </c>
      <c r="C16">
        <v>1</v>
      </c>
      <c r="D16" s="30" t="s">
        <v>104</v>
      </c>
      <c r="E16" s="31" t="s">
        <v>105</v>
      </c>
      <c r="F16" s="2" t="s">
        <v>72</v>
      </c>
      <c r="G16" s="29">
        <v>200</v>
      </c>
      <c r="H16" s="3" t="s">
        <v>28</v>
      </c>
      <c r="I16" s="3"/>
      <c r="M16" s="27">
        <v>46569</v>
      </c>
      <c r="N16">
        <v>1</v>
      </c>
      <c r="O16" s="30" t="s">
        <v>106</v>
      </c>
      <c r="P16" s="31" t="s">
        <v>107</v>
      </c>
      <c r="Q16" s="2" t="s">
        <v>72</v>
      </c>
      <c r="R16" s="29">
        <v>100</v>
      </c>
      <c r="S16" s="3" t="s">
        <v>31</v>
      </c>
      <c r="T16" s="3"/>
    </row>
    <row r="17" spans="2:20" ht="32" x14ac:dyDescent="0.2">
      <c r="B17" s="27">
        <v>46585</v>
      </c>
      <c r="C17">
        <v>1</v>
      </c>
      <c r="D17" s="30" t="s">
        <v>108</v>
      </c>
      <c r="E17" s="31" t="s">
        <v>109</v>
      </c>
      <c r="F17" s="2" t="s">
        <v>72</v>
      </c>
      <c r="G17" s="29">
        <v>70</v>
      </c>
      <c r="H17" s="3" t="s">
        <v>29</v>
      </c>
      <c r="I17" s="3"/>
      <c r="M17" s="27"/>
      <c r="O17" s="30"/>
      <c r="P17" s="31"/>
      <c r="Q17" s="2"/>
      <c r="R17" s="29"/>
      <c r="S17" s="3"/>
      <c r="T17" s="3"/>
    </row>
    <row r="18" spans="2:20" x14ac:dyDescent="0.2">
      <c r="B18" s="27"/>
      <c r="D18" s="30"/>
      <c r="E18" s="31"/>
      <c r="F18" s="2"/>
      <c r="G18" s="29"/>
      <c r="H18" s="3"/>
      <c r="I18" s="3"/>
      <c r="M18" s="27"/>
      <c r="O18" s="30"/>
      <c r="P18" s="31"/>
      <c r="Q18" s="2"/>
      <c r="R18" s="29"/>
      <c r="S18" s="3"/>
      <c r="T18" s="3"/>
    </row>
    <row r="19" spans="2:20" x14ac:dyDescent="0.2">
      <c r="B19" s="27"/>
      <c r="D19" s="30"/>
      <c r="E19" s="31"/>
      <c r="F19" s="2"/>
      <c r="G19" s="29"/>
      <c r="H19" s="3"/>
      <c r="I19" s="3"/>
      <c r="M19" s="27"/>
      <c r="O19" s="30"/>
      <c r="P19" s="31"/>
      <c r="Q19" s="2"/>
      <c r="R19" s="29"/>
      <c r="S19" s="3"/>
      <c r="T19" s="3"/>
    </row>
    <row r="20" spans="2:20" x14ac:dyDescent="0.2">
      <c r="B20" s="27"/>
      <c r="D20" s="30"/>
      <c r="E20" s="31"/>
      <c r="F20" s="2"/>
      <c r="G20" s="29"/>
      <c r="H20" s="3"/>
      <c r="I20" s="3"/>
      <c r="M20" s="27"/>
      <c r="O20" s="30"/>
      <c r="P20" s="31"/>
      <c r="Q20" s="2"/>
      <c r="R20" s="29"/>
      <c r="S20" s="3"/>
      <c r="T20" s="3"/>
    </row>
    <row r="21" spans="2:20" x14ac:dyDescent="0.2">
      <c r="B21" s="27"/>
      <c r="D21" s="30"/>
      <c r="E21" s="31"/>
      <c r="F21" s="2"/>
      <c r="G21" s="29"/>
      <c r="H21" s="3"/>
      <c r="I21" s="3"/>
      <c r="M21" s="27"/>
      <c r="O21" s="30"/>
      <c r="P21" s="31"/>
      <c r="Q21" s="2"/>
      <c r="R21" s="29"/>
      <c r="S21" s="3"/>
      <c r="T21" s="3"/>
    </row>
    <row r="22" spans="2:20" x14ac:dyDescent="0.2">
      <c r="B22" s="27"/>
      <c r="D22" s="30"/>
      <c r="E22" s="31"/>
      <c r="F22" s="2"/>
      <c r="G22" s="29"/>
      <c r="H22" s="3"/>
      <c r="I22" s="3"/>
      <c r="M22" s="27"/>
      <c r="O22" s="30"/>
      <c r="P22" s="31"/>
      <c r="Q22" s="2"/>
      <c r="R22" s="29"/>
      <c r="S22" s="3"/>
      <c r="T22" s="3"/>
    </row>
    <row r="23" spans="2:20" x14ac:dyDescent="0.2">
      <c r="B23" s="27"/>
      <c r="D23" s="30"/>
      <c r="E23" s="31"/>
      <c r="F23" s="2"/>
      <c r="G23" s="29"/>
      <c r="H23" s="3"/>
      <c r="I23" s="3"/>
      <c r="M23" s="27"/>
      <c r="O23" s="30"/>
      <c r="P23" s="31"/>
      <c r="Q23" s="2"/>
      <c r="R23" s="29"/>
      <c r="S23" s="3"/>
      <c r="T23" s="3"/>
    </row>
    <row r="24" spans="2:20" x14ac:dyDescent="0.2">
      <c r="B24" s="27"/>
      <c r="D24" s="30"/>
      <c r="E24" s="31"/>
      <c r="F24" s="2"/>
      <c r="G24" s="29"/>
      <c r="H24" s="3"/>
      <c r="I24" s="3"/>
      <c r="M24" s="27"/>
      <c r="O24" s="30"/>
      <c r="P24" s="31"/>
      <c r="Q24" s="2"/>
      <c r="R24" s="29"/>
      <c r="S24" s="3"/>
      <c r="T24" s="3"/>
    </row>
    <row r="25" spans="2:20" x14ac:dyDescent="0.2">
      <c r="B25" s="27"/>
      <c r="D25" s="30"/>
      <c r="E25" s="31"/>
      <c r="F25" s="2"/>
      <c r="G25" s="29"/>
      <c r="H25" s="3"/>
      <c r="I25" s="3"/>
      <c r="M25" s="27"/>
      <c r="O25" s="30"/>
      <c r="P25" s="31"/>
      <c r="Q25" s="2"/>
      <c r="R25" s="29"/>
      <c r="S25" s="3"/>
      <c r="T25" s="3"/>
    </row>
    <row r="26" spans="2:20" x14ac:dyDescent="0.2">
      <c r="B26" s="27"/>
      <c r="D26" s="30"/>
      <c r="E26" s="31"/>
      <c r="F26" s="2"/>
      <c r="G26" s="29"/>
      <c r="H26" s="3"/>
      <c r="I26" s="3"/>
      <c r="M26" s="27"/>
      <c r="O26" s="30"/>
      <c r="P26" s="31"/>
      <c r="Q26" s="2"/>
      <c r="R26" s="29"/>
      <c r="S26" s="3"/>
      <c r="T26" s="3"/>
    </row>
    <row r="27" spans="2:20" x14ac:dyDescent="0.2">
      <c r="B27" s="27"/>
      <c r="D27" s="30"/>
      <c r="E27" s="31"/>
      <c r="F27" s="2"/>
      <c r="G27" s="29"/>
      <c r="H27" s="3"/>
      <c r="I27" s="3"/>
      <c r="M27" s="27"/>
      <c r="O27" s="30"/>
      <c r="P27" s="31"/>
      <c r="Q27" s="2"/>
      <c r="R27" s="29"/>
      <c r="S27" s="3"/>
      <c r="T27" s="3"/>
    </row>
    <row r="28" spans="2:20" x14ac:dyDescent="0.2">
      <c r="B28" s="27"/>
      <c r="D28" s="30"/>
      <c r="E28" s="31"/>
      <c r="F28" s="2"/>
      <c r="G28" s="29"/>
      <c r="H28" s="3"/>
      <c r="I28" s="3"/>
      <c r="M28" s="27"/>
      <c r="O28" s="30"/>
      <c r="P28" s="31"/>
      <c r="Q28" s="2"/>
      <c r="R28" s="29"/>
      <c r="S28" s="3"/>
      <c r="T28" s="3"/>
    </row>
    <row r="29" spans="2:20" x14ac:dyDescent="0.2">
      <c r="B29" s="27"/>
      <c r="D29" s="30"/>
      <c r="E29" s="31"/>
      <c r="F29" s="2"/>
      <c r="G29" s="29"/>
      <c r="H29" s="3"/>
      <c r="I29" s="3"/>
      <c r="M29" s="27"/>
      <c r="O29" s="30"/>
      <c r="P29" s="31"/>
      <c r="Q29" s="2"/>
      <c r="R29" s="29"/>
      <c r="S29" s="3"/>
      <c r="T29" s="3"/>
    </row>
    <row r="30" spans="2:20" x14ac:dyDescent="0.2">
      <c r="B30" s="27"/>
      <c r="D30" s="30"/>
      <c r="E30" s="31"/>
      <c r="F30" s="2"/>
      <c r="G30" s="29"/>
      <c r="H30" s="3"/>
      <c r="I30" s="3"/>
      <c r="M30" s="27"/>
      <c r="O30" s="30"/>
      <c r="P30" s="31"/>
      <c r="Q30" s="2"/>
      <c r="R30" s="29"/>
      <c r="S30" s="3"/>
      <c r="T30" s="3"/>
    </row>
    <row r="31" spans="2:20" x14ac:dyDescent="0.2">
      <c r="B31" s="27"/>
      <c r="D31" s="30"/>
      <c r="E31" s="31"/>
      <c r="F31" s="2"/>
      <c r="G31" s="29"/>
      <c r="H31" s="3"/>
      <c r="I31" s="3"/>
      <c r="M31" s="27"/>
      <c r="O31" s="30"/>
      <c r="P31" s="31"/>
      <c r="Q31" s="2"/>
      <c r="R31" s="29"/>
      <c r="S31" s="3"/>
      <c r="T31" s="3"/>
    </row>
    <row r="32" spans="2:20" x14ac:dyDescent="0.2">
      <c r="B32" s="27"/>
      <c r="D32" s="30"/>
      <c r="E32" s="31"/>
      <c r="F32" s="2"/>
      <c r="G32" s="29"/>
      <c r="H32" s="3"/>
      <c r="I32" s="3"/>
      <c r="M32" s="27"/>
      <c r="O32" s="30"/>
      <c r="P32" s="31"/>
      <c r="Q32" s="2"/>
      <c r="R32" s="29"/>
      <c r="S32" s="3"/>
      <c r="T32" s="3"/>
    </row>
    <row r="33" spans="2:20" x14ac:dyDescent="0.2">
      <c r="B33" s="27"/>
      <c r="D33" s="30"/>
      <c r="E33" s="31"/>
      <c r="F33" s="2"/>
      <c r="G33" s="29"/>
      <c r="H33" s="3"/>
      <c r="I33" s="3"/>
      <c r="M33" s="27"/>
      <c r="O33" s="30"/>
      <c r="P33" s="31"/>
      <c r="Q33" s="2"/>
      <c r="R33" s="29"/>
      <c r="S33" s="3"/>
      <c r="T33" s="3"/>
    </row>
    <row r="34" spans="2:20" x14ac:dyDescent="0.2">
      <c r="B34" s="27"/>
      <c r="D34" s="30"/>
      <c r="E34" s="31"/>
      <c r="F34" s="2"/>
      <c r="G34" s="29"/>
      <c r="H34" s="3"/>
      <c r="I34" s="3"/>
      <c r="M34" s="27"/>
      <c r="O34" s="30"/>
      <c r="P34" s="31"/>
      <c r="Q34" s="2"/>
      <c r="R34" s="29"/>
      <c r="S34" s="3"/>
      <c r="T34" s="3"/>
    </row>
    <row r="35" spans="2:20" x14ac:dyDescent="0.2">
      <c r="B35" s="27"/>
      <c r="D35" s="30"/>
      <c r="E35" s="31"/>
      <c r="F35" s="2"/>
      <c r="G35" s="29"/>
      <c r="H35" s="3"/>
      <c r="I35" s="3"/>
      <c r="M35" s="27"/>
      <c r="O35" s="30"/>
      <c r="P35" s="31"/>
      <c r="Q35" s="2"/>
      <c r="R35" s="29"/>
      <c r="S35" s="3"/>
      <c r="T35" s="3"/>
    </row>
    <row r="36" spans="2:20" x14ac:dyDescent="0.2">
      <c r="B36" s="27"/>
      <c r="D36" s="30"/>
      <c r="E36" s="31"/>
      <c r="F36" s="2"/>
      <c r="G36" s="29"/>
      <c r="H36" s="3"/>
      <c r="I36" s="3"/>
      <c r="M36" s="27"/>
      <c r="O36" s="30"/>
      <c r="P36" s="31"/>
      <c r="Q36" s="2"/>
      <c r="R36" s="29"/>
      <c r="S36" s="3"/>
      <c r="T36" s="3"/>
    </row>
    <row r="37" spans="2:20" x14ac:dyDescent="0.2">
      <c r="B37" s="27"/>
      <c r="D37" s="30"/>
      <c r="E37" s="31"/>
      <c r="F37" s="2"/>
      <c r="G37" s="29"/>
      <c r="H37" s="3"/>
      <c r="I37" s="3"/>
      <c r="M37" s="27"/>
      <c r="O37" s="30"/>
      <c r="P37" s="31"/>
      <c r="Q37" s="2"/>
      <c r="R37" s="29"/>
      <c r="S37" s="3"/>
      <c r="T37" s="3"/>
    </row>
    <row r="38" spans="2:20" x14ac:dyDescent="0.2">
      <c r="B38" s="27"/>
      <c r="D38" s="30"/>
      <c r="E38" s="31"/>
      <c r="F38" s="2"/>
      <c r="G38" s="29"/>
      <c r="H38" s="3"/>
      <c r="I38" s="3"/>
      <c r="M38" s="27"/>
      <c r="O38" s="30"/>
      <c r="P38" s="31"/>
      <c r="Q38" s="2"/>
      <c r="R38" s="29"/>
      <c r="S38" s="3"/>
      <c r="T38" s="3"/>
    </row>
    <row r="39" spans="2:20" x14ac:dyDescent="0.2">
      <c r="B39" s="27"/>
      <c r="D39" s="30"/>
      <c r="E39" s="31"/>
      <c r="F39" s="2"/>
      <c r="G39" s="29"/>
      <c r="H39" s="3"/>
      <c r="I39" s="3"/>
      <c r="M39" s="27"/>
      <c r="O39" s="30"/>
      <c r="P39" s="31"/>
      <c r="Q39" s="2"/>
      <c r="R39" s="29"/>
      <c r="S39" s="3"/>
      <c r="T39" s="3"/>
    </row>
    <row r="40" spans="2:20" x14ac:dyDescent="0.2">
      <c r="B40" s="27"/>
      <c r="D40" s="30"/>
      <c r="E40" s="31"/>
      <c r="F40" s="2"/>
      <c r="G40" s="29"/>
      <c r="H40" s="3"/>
      <c r="I40" s="3"/>
      <c r="M40" s="27"/>
      <c r="O40" s="30"/>
      <c r="P40" s="31"/>
      <c r="Q40" s="2"/>
      <c r="R40" s="29"/>
      <c r="S40" s="3"/>
      <c r="T40" s="3"/>
    </row>
    <row r="41" spans="2:20" x14ac:dyDescent="0.2">
      <c r="B41" s="27"/>
      <c r="D41" s="30"/>
      <c r="E41" s="31"/>
      <c r="F41" s="2"/>
      <c r="G41" s="29"/>
      <c r="H41" s="3"/>
      <c r="I41" s="3"/>
      <c r="M41" s="27"/>
      <c r="O41" s="30"/>
      <c r="P41" s="31"/>
      <c r="Q41" s="2"/>
      <c r="R41" s="29"/>
      <c r="S41" s="3"/>
      <c r="T41" s="3"/>
    </row>
    <row r="42" spans="2:20" x14ac:dyDescent="0.2">
      <c r="B42" s="27"/>
      <c r="D42" s="30"/>
      <c r="E42" s="31"/>
      <c r="F42" s="2"/>
      <c r="G42" s="29"/>
      <c r="H42" s="3"/>
      <c r="I42" s="3"/>
      <c r="M42" s="27"/>
      <c r="O42" s="30"/>
      <c r="P42" s="31"/>
      <c r="Q42" s="2"/>
      <c r="R42" s="29"/>
      <c r="S42" s="3"/>
      <c r="T42" s="3"/>
    </row>
    <row r="43" spans="2:20" x14ac:dyDescent="0.2">
      <c r="B43" s="27"/>
      <c r="D43" s="30"/>
      <c r="E43" s="31"/>
      <c r="F43" s="2"/>
      <c r="G43" s="29"/>
      <c r="H43" s="3"/>
      <c r="I43" s="3"/>
      <c r="M43" s="27"/>
      <c r="O43" s="30"/>
      <c r="P43" s="31"/>
      <c r="Q43" s="2"/>
      <c r="R43" s="29"/>
      <c r="S43" s="3"/>
      <c r="T43" s="3"/>
    </row>
    <row r="44" spans="2:20" x14ac:dyDescent="0.2">
      <c r="B44" s="27"/>
      <c r="D44" s="30"/>
      <c r="E44" s="31"/>
      <c r="F44" s="2"/>
      <c r="G44" s="29"/>
      <c r="H44" s="3"/>
      <c r="I44" s="3"/>
      <c r="M44" s="27"/>
      <c r="O44" s="30"/>
      <c r="P44" s="31"/>
      <c r="Q44" s="2"/>
      <c r="R44" s="29"/>
      <c r="S44" s="3"/>
      <c r="T44" s="3"/>
    </row>
    <row r="45" spans="2:20" x14ac:dyDescent="0.2">
      <c r="B45" s="27"/>
      <c r="D45" s="30"/>
      <c r="E45" s="31"/>
      <c r="F45" s="2"/>
      <c r="G45" s="29"/>
      <c r="H45" s="3"/>
      <c r="I45" s="3"/>
      <c r="M45" s="27"/>
      <c r="O45" s="30"/>
      <c r="P45" s="31"/>
      <c r="Q45" s="2"/>
      <c r="R45" s="29"/>
      <c r="S45" s="3"/>
      <c r="T45" s="3"/>
    </row>
    <row r="46" spans="2:20" x14ac:dyDescent="0.2">
      <c r="B46" s="27"/>
      <c r="D46" s="30"/>
      <c r="E46" s="31"/>
      <c r="F46" s="2"/>
      <c r="G46" s="29"/>
      <c r="H46" s="3"/>
      <c r="I46" s="3"/>
      <c r="M46" s="27"/>
      <c r="O46" s="30"/>
      <c r="P46" s="31"/>
      <c r="Q46" s="2"/>
      <c r="R46" s="29"/>
      <c r="S46" s="3"/>
      <c r="T46" s="3"/>
    </row>
    <row r="47" spans="2:20" x14ac:dyDescent="0.2">
      <c r="B47" s="27"/>
      <c r="D47" s="30"/>
      <c r="E47" s="31"/>
      <c r="F47" s="2"/>
      <c r="G47" s="29"/>
      <c r="H47" s="3"/>
      <c r="I47" s="3"/>
      <c r="M47" s="27"/>
      <c r="O47" s="30"/>
      <c r="P47" s="31"/>
      <c r="Q47" s="2"/>
      <c r="R47" s="29"/>
      <c r="S47" s="3"/>
      <c r="T47" s="3"/>
    </row>
    <row r="48" spans="2:20" x14ac:dyDescent="0.2">
      <c r="B48" s="27"/>
      <c r="D48" s="30"/>
      <c r="E48" s="31"/>
      <c r="F48" s="2"/>
      <c r="G48" s="29"/>
      <c r="H48" s="3"/>
      <c r="I48" s="3"/>
      <c r="M48" s="27"/>
      <c r="O48" s="30"/>
      <c r="P48" s="31"/>
      <c r="Q48" s="2"/>
      <c r="R48" s="29"/>
      <c r="S48" s="3"/>
      <c r="T48" s="3"/>
    </row>
    <row r="49" spans="2:21" x14ac:dyDescent="0.2">
      <c r="B49" s="27"/>
      <c r="D49" s="30"/>
      <c r="E49" s="31"/>
      <c r="F49" s="2"/>
      <c r="G49" s="29"/>
      <c r="H49" s="3"/>
      <c r="I49" s="3"/>
      <c r="M49" s="27"/>
      <c r="O49" s="30"/>
      <c r="P49" s="31"/>
      <c r="Q49" s="2"/>
      <c r="R49" s="29"/>
      <c r="S49" s="3"/>
      <c r="T49" s="3"/>
    </row>
    <row r="50" spans="2:21" x14ac:dyDescent="0.2">
      <c r="B50" s="27"/>
      <c r="D50" s="30"/>
      <c r="E50" s="31"/>
      <c r="F50" s="2"/>
      <c r="G50" s="29"/>
      <c r="H50" s="3"/>
      <c r="I50" s="3"/>
      <c r="M50" s="27"/>
      <c r="O50" s="30"/>
      <c r="P50" s="31"/>
      <c r="Q50" s="2"/>
      <c r="R50" s="29"/>
      <c r="S50" s="3"/>
      <c r="T50" s="3"/>
    </row>
    <row r="51" spans="2:21" x14ac:dyDescent="0.2">
      <c r="B51" s="27"/>
      <c r="D51" s="30"/>
      <c r="E51" s="31"/>
      <c r="F51" s="2"/>
      <c r="G51" s="29"/>
      <c r="H51" s="3"/>
      <c r="I51" s="3"/>
      <c r="M51" s="27"/>
      <c r="O51" s="30"/>
      <c r="P51" s="31"/>
      <c r="Q51" s="2"/>
      <c r="R51" s="29"/>
      <c r="S51" s="3"/>
      <c r="T51" s="3"/>
    </row>
    <row r="52" spans="2:21" x14ac:dyDescent="0.2">
      <c r="B52" s="27"/>
      <c r="D52" s="30"/>
      <c r="E52" s="31"/>
      <c r="F52" s="2"/>
      <c r="G52" s="29"/>
      <c r="H52" s="3"/>
      <c r="I52" s="3"/>
      <c r="M52" s="27"/>
      <c r="O52" s="30"/>
      <c r="P52" s="31"/>
      <c r="Q52" s="2"/>
      <c r="R52" s="29"/>
      <c r="S52" s="3"/>
      <c r="T52" s="3"/>
    </row>
    <row r="53" spans="2:21" x14ac:dyDescent="0.2">
      <c r="B53" s="27"/>
      <c r="D53" s="30"/>
      <c r="E53" s="31"/>
      <c r="F53" s="2"/>
      <c r="G53" s="29"/>
      <c r="H53" s="3"/>
      <c r="I53" s="3"/>
      <c r="M53" s="27"/>
      <c r="O53" s="30"/>
      <c r="P53" s="31"/>
      <c r="Q53" s="2"/>
      <c r="R53" s="29"/>
      <c r="S53" s="3"/>
      <c r="T53" s="3"/>
    </row>
    <row r="54" spans="2:21" x14ac:dyDescent="0.2">
      <c r="B54" s="27"/>
      <c r="D54" s="30"/>
      <c r="E54" s="31"/>
      <c r="F54" s="2"/>
      <c r="G54" s="29"/>
      <c r="H54" s="3"/>
      <c r="I54" s="3"/>
      <c r="M54" s="27"/>
      <c r="O54" s="30"/>
      <c r="P54" s="31"/>
      <c r="Q54" s="2"/>
      <c r="R54" s="29"/>
      <c r="S54" s="3"/>
      <c r="T54" s="3"/>
    </row>
    <row r="55" spans="2:21" x14ac:dyDescent="0.2">
      <c r="B55" s="27"/>
      <c r="D55" s="30"/>
      <c r="E55" s="31"/>
      <c r="F55" s="2"/>
      <c r="G55" s="29"/>
      <c r="H55" s="3"/>
      <c r="I55" s="3"/>
      <c r="M55" s="27"/>
      <c r="O55" s="30"/>
      <c r="P55" s="31"/>
      <c r="Q55" s="2"/>
      <c r="R55" s="29"/>
      <c r="S55" s="3"/>
      <c r="T55" s="3"/>
    </row>
    <row r="56" spans="2:21" x14ac:dyDescent="0.2">
      <c r="B56" s="27"/>
      <c r="D56" s="30"/>
      <c r="E56" s="31"/>
      <c r="F56" s="2"/>
      <c r="G56" s="29"/>
      <c r="H56" s="3"/>
      <c r="I56" s="3"/>
      <c r="M56" s="27"/>
      <c r="O56" s="30"/>
      <c r="P56" s="31"/>
      <c r="Q56" s="2"/>
      <c r="R56" s="29"/>
      <c r="S56" s="3"/>
      <c r="T56" s="3"/>
    </row>
    <row r="57" spans="2:21" x14ac:dyDescent="0.2">
      <c r="B57" s="27"/>
      <c r="D57" s="30"/>
      <c r="E57" s="31"/>
      <c r="F57" s="2"/>
      <c r="G57" s="29"/>
      <c r="H57" s="3"/>
      <c r="I57" s="3"/>
      <c r="M57" s="27"/>
      <c r="O57" s="30"/>
      <c r="P57" s="31"/>
      <c r="Q57" s="2"/>
      <c r="R57" s="29"/>
      <c r="S57" s="3"/>
      <c r="T57" s="3"/>
    </row>
    <row r="58" spans="2:21" x14ac:dyDescent="0.2">
      <c r="B58" s="27"/>
      <c r="D58" s="30"/>
      <c r="E58" s="31"/>
      <c r="F58" s="2"/>
      <c r="G58" s="29"/>
      <c r="H58" s="3"/>
      <c r="I58" s="3"/>
      <c r="M58" s="27"/>
      <c r="O58" s="30"/>
      <c r="P58" s="31"/>
      <c r="Q58" s="2"/>
      <c r="R58" s="29"/>
      <c r="S58" s="3"/>
      <c r="T58" s="3"/>
    </row>
    <row r="59" spans="2:21" x14ac:dyDescent="0.2">
      <c r="B59" s="27"/>
      <c r="D59" s="30"/>
      <c r="E59" s="31"/>
      <c r="F59" s="2"/>
      <c r="G59" s="29"/>
      <c r="H59" s="3"/>
      <c r="I59" s="3"/>
      <c r="M59" s="27"/>
      <c r="O59" s="30"/>
      <c r="P59" s="31"/>
      <c r="Q59" s="2"/>
      <c r="R59" s="29"/>
      <c r="S59" s="3"/>
      <c r="T59" s="3"/>
    </row>
    <row r="60" spans="2:21" ht="16" x14ac:dyDescent="0.2">
      <c r="B60" s="28"/>
      <c r="C60" s="4"/>
      <c r="D60" s="32"/>
      <c r="E60" s="33"/>
      <c r="F60" s="5"/>
      <c r="G60" s="29"/>
      <c r="H60" s="6"/>
      <c r="I60" s="6"/>
      <c r="M60" s="28"/>
      <c r="N60" s="4"/>
      <c r="O60" s="32"/>
      <c r="P60" s="33"/>
      <c r="Q60" s="5"/>
      <c r="R60" s="29"/>
      <c r="S60" s="6"/>
      <c r="T60" s="6"/>
    </row>
    <row r="61" spans="2:21" x14ac:dyDescent="0.2">
      <c r="B61" s="27"/>
      <c r="D61" s="30"/>
      <c r="E61" s="31"/>
      <c r="F61" s="7"/>
      <c r="G61" s="29"/>
      <c r="I61" t="s">
        <v>13</v>
      </c>
      <c r="J61" s="38" t="s">
        <v>14</v>
      </c>
      <c r="M61" s="27"/>
      <c r="O61" s="30"/>
      <c r="P61" s="31"/>
      <c r="Q61" s="7"/>
      <c r="R61" s="29"/>
      <c r="T61" t="s">
        <v>13</v>
      </c>
      <c r="U61" s="38" t="s">
        <v>14</v>
      </c>
    </row>
    <row r="62" spans="2:21" x14ac:dyDescent="0.2">
      <c r="B62" s="27"/>
      <c r="D62" s="30"/>
      <c r="E62" s="30"/>
      <c r="G62" s="29"/>
      <c r="J62" s="38"/>
      <c r="M62" s="27"/>
      <c r="O62" s="30"/>
      <c r="P62" s="30"/>
      <c r="R62" s="29"/>
      <c r="U62" s="38"/>
    </row>
    <row r="63" spans="2:21" x14ac:dyDescent="0.2">
      <c r="B63" s="27"/>
      <c r="D63" s="30"/>
      <c r="E63" s="30"/>
      <c r="G63" s="29"/>
      <c r="J63" s="38"/>
      <c r="M63" s="27"/>
      <c r="O63" s="30"/>
      <c r="P63" s="30"/>
      <c r="R63" s="29"/>
      <c r="U63" s="38"/>
    </row>
    <row r="64" spans="2:21" x14ac:dyDescent="0.2">
      <c r="B64" s="27"/>
      <c r="D64" s="30"/>
      <c r="E64" s="30"/>
      <c r="G64" s="29"/>
      <c r="J64" s="38"/>
      <c r="M64" s="27"/>
      <c r="O64" s="30"/>
      <c r="P64" s="30"/>
      <c r="R64" s="29"/>
      <c r="U64" s="38"/>
    </row>
    <row r="65" spans="2:21" x14ac:dyDescent="0.2">
      <c r="B65" s="27"/>
      <c r="D65" s="30"/>
      <c r="E65" s="30"/>
      <c r="G65" s="29"/>
      <c r="J65" s="38"/>
      <c r="M65" s="27"/>
      <c r="O65" s="30"/>
      <c r="P65" s="30"/>
      <c r="R65" s="29"/>
      <c r="U65" s="38"/>
    </row>
    <row r="66" spans="2:21" x14ac:dyDescent="0.2">
      <c r="B66" s="27"/>
      <c r="D66" s="30"/>
      <c r="E66" s="30"/>
      <c r="G66" s="29"/>
      <c r="J66" s="38"/>
      <c r="M66" s="27"/>
      <c r="O66" s="30"/>
      <c r="P66" s="30"/>
      <c r="R66" s="29"/>
      <c r="U66" s="38"/>
    </row>
    <row r="67" spans="2:21" x14ac:dyDescent="0.2">
      <c r="B67" s="27"/>
      <c r="D67" s="30"/>
      <c r="E67" s="30"/>
      <c r="G67" s="29"/>
      <c r="J67" s="38"/>
      <c r="M67" s="27"/>
      <c r="O67" s="30"/>
      <c r="P67" s="30"/>
      <c r="R67" s="29"/>
      <c r="U67" s="38"/>
    </row>
    <row r="68" spans="2:21" x14ac:dyDescent="0.2">
      <c r="B68" s="27"/>
      <c r="D68" s="30"/>
      <c r="E68" s="30"/>
      <c r="G68" s="29"/>
      <c r="J68" s="38"/>
      <c r="M68" s="27"/>
      <c r="O68" s="30"/>
      <c r="P68" s="30"/>
      <c r="R68" s="29"/>
      <c r="U68" s="38"/>
    </row>
    <row r="69" spans="2:21" x14ac:dyDescent="0.2">
      <c r="B69" s="27"/>
      <c r="D69" s="30"/>
      <c r="E69" s="30"/>
      <c r="G69" s="29"/>
      <c r="J69" s="38"/>
      <c r="M69" s="27"/>
      <c r="O69" s="30"/>
      <c r="P69" s="30"/>
      <c r="R69" s="29"/>
      <c r="U69" s="38"/>
    </row>
  </sheetData>
  <mergeCells count="6">
    <mergeCell ref="U61:U69"/>
    <mergeCell ref="B3:S3"/>
    <mergeCell ref="B5:S5"/>
    <mergeCell ref="B7:J7"/>
    <mergeCell ref="L7:S7"/>
    <mergeCell ref="J61:J69"/>
  </mergeCells>
  <dataValidations count="2">
    <dataValidation type="list" allowBlank="1" showInputMessage="1" showErrorMessage="1" sqref="H13:H60" xr:uid="{00000000-0002-0000-0300-000000000000}">
      <formula1>"Food/Non-Alcoholic Drinks, Equipment, Booking/Venue Hire, Merchandise, Administrative Costs, Alcohol, Other"</formula1>
    </dataValidation>
    <dataValidation type="list" allowBlank="1" showInputMessage="1" showErrorMessage="1" sqref="S13:S60" xr:uid="{00000000-0002-0000-0300-000001000000}">
      <formula1>"Sales, Merchandise, Arc Grants, Membership fees, Sponsorship, Other"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S56"/>
  <sheetViews>
    <sheetView showGridLines="0" tabSelected="1" topLeftCell="A35" workbookViewId="0"/>
  </sheetViews>
  <sheetFormatPr baseColWidth="10" defaultColWidth="8.83203125" defaultRowHeight="15" x14ac:dyDescent="0.2"/>
  <cols>
    <col min="2" max="2" width="59.83203125" customWidth="1"/>
    <col min="3" max="3" width="13.83203125" customWidth="1"/>
    <col min="4" max="4" width="9.1640625" customWidth="1"/>
    <col min="18" max="18" width="18" customWidth="1"/>
  </cols>
  <sheetData>
    <row r="3" spans="2:19" ht="51.75" customHeight="1" x14ac:dyDescent="0.2">
      <c r="B3" s="45" t="s">
        <v>19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</row>
    <row r="4" spans="2:19" ht="32.25" customHeight="1" x14ac:dyDescent="0.25">
      <c r="B4" s="55" t="s">
        <v>20</v>
      </c>
      <c r="C4" s="55"/>
      <c r="D4" s="55"/>
      <c r="E4" s="55"/>
      <c r="F4" s="55"/>
      <c r="G4" s="55"/>
      <c r="H4" s="55"/>
      <c r="I4" s="18"/>
      <c r="J4" s="18"/>
      <c r="K4" s="18"/>
      <c r="L4" s="18"/>
      <c r="M4" s="18"/>
      <c r="N4" s="18"/>
      <c r="O4" s="18"/>
      <c r="P4" s="18"/>
      <c r="Q4" s="34" t="s">
        <v>110</v>
      </c>
      <c r="R4" s="53" t="s">
        <v>111</v>
      </c>
      <c r="S4" s="54"/>
    </row>
    <row r="5" spans="2:19" x14ac:dyDescent="0.2">
      <c r="B5" s="56" t="s">
        <v>4</v>
      </c>
      <c r="C5" s="56"/>
      <c r="D5" s="56"/>
      <c r="E5" s="56"/>
      <c r="R5" s="58">
        <f>'General Ledger T3'!H9+'General Ledger T1'!H9+'General Ledger T2'!H9</f>
        <v>2600</v>
      </c>
      <c r="S5" s="59"/>
    </row>
    <row r="6" spans="2:19" x14ac:dyDescent="0.2">
      <c r="B6" s="57" t="s">
        <v>5</v>
      </c>
      <c r="C6" s="57"/>
      <c r="D6" s="57"/>
      <c r="E6" s="57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60">
        <f>'General Ledger T3'!S9+'General Ledger T1'!S9+'General Ledger T2'!S9</f>
        <v>2900</v>
      </c>
      <c r="S6" s="61"/>
    </row>
    <row r="7" spans="2:19" x14ac:dyDescent="0.2">
      <c r="B7" s="13" t="s">
        <v>21</v>
      </c>
      <c r="C7" s="7"/>
      <c r="R7" s="51">
        <f>R6-R5</f>
        <v>300</v>
      </c>
      <c r="S7" s="52"/>
    </row>
    <row r="8" spans="2:19" x14ac:dyDescent="0.2">
      <c r="B8" s="13"/>
      <c r="C8" s="7"/>
      <c r="Q8" s="62" t="s">
        <v>112</v>
      </c>
      <c r="R8" s="63"/>
      <c r="S8" s="25"/>
    </row>
    <row r="9" spans="2:19" x14ac:dyDescent="0.2">
      <c r="B9" s="26" t="s">
        <v>22</v>
      </c>
      <c r="Q9" s="64"/>
      <c r="R9" s="65"/>
    </row>
    <row r="10" spans="2:19" ht="21" x14ac:dyDescent="0.25">
      <c r="B10" s="20" t="s">
        <v>23</v>
      </c>
    </row>
    <row r="11" spans="2:19" ht="19" x14ac:dyDescent="0.2">
      <c r="B11" s="1" t="s">
        <v>12</v>
      </c>
      <c r="C11" s="1" t="s">
        <v>24</v>
      </c>
    </row>
    <row r="12" spans="2:19" x14ac:dyDescent="0.2">
      <c r="B12" s="21" t="s">
        <v>25</v>
      </c>
      <c r="C12" s="3">
        <f>SUMIFS(Table1[Cost], Table1[Category], "Food/Non-Alcoholic Drinks") +
 SUMIFS(Table3[Cost], Table3[Category], "Food/Non-Alcoholic Drinks") +
 SUMIFS(Table5[Cost], Table5[Category], "Food/Non-Alcoholic Drinks")</f>
        <v>240</v>
      </c>
    </row>
    <row r="13" spans="2:19" x14ac:dyDescent="0.2">
      <c r="B13" s="21" t="s">
        <v>26</v>
      </c>
      <c r="C13" s="3">
        <f>SUMIFS(Table1[Cost], Table1[Category], "Equipment") +
 SUMIFS(Table3[Cost], Table3[Category], "Equipment") +
 SUMIFS(Table5[Cost], Table5[Category], "Equipment")</f>
        <v>1500</v>
      </c>
    </row>
    <row r="14" spans="2:19" x14ac:dyDescent="0.2">
      <c r="B14" s="21" t="s">
        <v>27</v>
      </c>
      <c r="C14" s="3">
        <f>SUMIFS(Table1[Cost], Table1[Category], "Booking/Venue Hire") +
 SUMIFS(Table3[Cost], Table3[Category], "Booking/Venue Hire") +
 SUMIFS(Table5[Cost], Table5[Category], "Booking/Venue Hire")</f>
        <v>160</v>
      </c>
    </row>
    <row r="15" spans="2:19" x14ac:dyDescent="0.2">
      <c r="B15" s="21" t="s">
        <v>28</v>
      </c>
      <c r="C15" s="3">
        <f>SUMIFS(Table1[Cost], Table1[Category], "Merchandise") +
 SUMIFS(Table3[Cost], Table3[Category], "Merchandise") +
 SUMIFS(Table5[Cost], Table5[Category], "Merchandise")</f>
        <v>200</v>
      </c>
    </row>
    <row r="16" spans="2:19" x14ac:dyDescent="0.2">
      <c r="B16" s="21" t="s">
        <v>29</v>
      </c>
      <c r="C16" s="3">
        <f>SUMIFS(Table1[Cost], Table1[Category], "Administrative Costs") +
 SUMIFS(Table3[Cost], Table3[Category], "Administrative Costs") +
 SUMIFS(Table5[Cost], Table5[Category], "Administrative Costs")</f>
        <v>150</v>
      </c>
    </row>
    <row r="17" spans="2:3" x14ac:dyDescent="0.2">
      <c r="B17" s="21" t="s">
        <v>30</v>
      </c>
      <c r="C17" s="3">
        <f>SUMIFS(Table1[Cost], Table1[Category], "Alcohol") +
 SUMIFS(Table3[Cost], Table3[Category], "Alcohol") +
 SUMIFS(Table5[Cost], Table5[Category], "Alcohol")</f>
        <v>0</v>
      </c>
    </row>
    <row r="18" spans="2:3" x14ac:dyDescent="0.2">
      <c r="B18" s="22" t="s">
        <v>31</v>
      </c>
      <c r="C18" s="3">
        <f>SUMIFS(Table1[Cost], Table1[Category], "Other") +
 SUMIFS(Table3[Cost], Table3[Category], "Other") +
 SUMIFS(Table5[Cost], Table5[Category], "Other")</f>
        <v>350</v>
      </c>
    </row>
    <row r="19" spans="2:3" x14ac:dyDescent="0.2">
      <c r="B19" t="s">
        <v>32</v>
      </c>
      <c r="C19" s="8">
        <f>SUBTOTAL(109,Table7[Amount])</f>
        <v>2600</v>
      </c>
    </row>
    <row r="20" spans="2:3" x14ac:dyDescent="0.2">
      <c r="C20" s="3"/>
    </row>
    <row r="21" spans="2:3" x14ac:dyDescent="0.2">
      <c r="C21" s="3"/>
    </row>
    <row r="22" spans="2:3" ht="21" x14ac:dyDescent="0.25">
      <c r="B22" s="20" t="s">
        <v>33</v>
      </c>
      <c r="C22" s="3"/>
    </row>
    <row r="23" spans="2:3" ht="19" x14ac:dyDescent="0.2">
      <c r="B23" s="1" t="s">
        <v>12</v>
      </c>
      <c r="C23" s="1" t="s">
        <v>24</v>
      </c>
    </row>
    <row r="24" spans="2:3" x14ac:dyDescent="0.2">
      <c r="B24" s="21" t="s">
        <v>34</v>
      </c>
      <c r="C24" s="21">
        <f>SUMIFS(Table2[Cost], Table2[Category], "Sales") +
 SUMIFS(Table4[Cost], Table4[Category], "Sales") +
 SUMIFS(Table6[Cost], Table6[Category], "Sales")</f>
        <v>600</v>
      </c>
    </row>
    <row r="25" spans="2:3" x14ac:dyDescent="0.2">
      <c r="B25" s="21" t="s">
        <v>28</v>
      </c>
      <c r="C25" s="21">
        <f>SUMIFS(Table2[Cost], Table2[Category], "Merchandise") +
 SUMIFS(Table4[Cost], Table4[Category], "Merchandise") +
 SUMIFS(Table6[Cost], Table6[Category], "Merchandise")</f>
        <v>200</v>
      </c>
    </row>
    <row r="26" spans="2:3" x14ac:dyDescent="0.2">
      <c r="B26" s="21" t="s">
        <v>35</v>
      </c>
      <c r="C26" s="21">
        <f>SUMIFS(Table2[Cost],Table2[Category],"Arc Grants")+
SUMIFS(Table4[Cost],Table4[Category],"Arc Grants")+
SUMIFS(Table6[Cost],Table6[Category],"Arc Grants")</f>
        <v>1000</v>
      </c>
    </row>
    <row r="27" spans="2:3" x14ac:dyDescent="0.2">
      <c r="B27" s="21" t="s">
        <v>36</v>
      </c>
      <c r="C27" s="21">
        <f>SUMIFS(Table2[Cost],Table2[Category],"Membership fees")+
SUMIFS(Table4[Cost],Table4[Category],"Membership fees")+
SUMIFS(Table6[Cost],Table6[Category],"Membership fees")</f>
        <v>500</v>
      </c>
    </row>
    <row r="28" spans="2:3" x14ac:dyDescent="0.2">
      <c r="B28" s="21" t="s">
        <v>37</v>
      </c>
      <c r="C28" s="21">
        <f>SUMIFS(Table2[Cost],Table2[Category],"Sponsorship")+
SUMIFS(Table4[Cost],Table4[Category],"Sponsorship")+
SUMIFS(Table6[Cost],Table6[Category],"Sponsorship")</f>
        <v>500</v>
      </c>
    </row>
    <row r="29" spans="2:3" x14ac:dyDescent="0.2">
      <c r="B29" s="21" t="s">
        <v>31</v>
      </c>
      <c r="C29" s="21">
        <f>SUMIFS(Table2[Cost],Table2[Category],"Other")+
SUMIFS(Table4[Cost],Table4[Category],"Other")+
SUMIFS(Table6[Cost],Table6[Category],"Other")</f>
        <v>100</v>
      </c>
    </row>
    <row r="30" spans="2:3" x14ac:dyDescent="0.2">
      <c r="B30" t="s">
        <v>32</v>
      </c>
      <c r="C30" s="8">
        <f>SUBTOTAL(109,Table17911[Amount])</f>
        <v>2900</v>
      </c>
    </row>
    <row r="31" spans="2:3" x14ac:dyDescent="0.2">
      <c r="B31" s="21"/>
      <c r="C31" s="21"/>
    </row>
    <row r="32" spans="2:3" x14ac:dyDescent="0.2">
      <c r="B32" s="21"/>
      <c r="C32" s="21"/>
    </row>
    <row r="33" spans="2:3" ht="21" x14ac:dyDescent="0.25">
      <c r="B33" s="20" t="s">
        <v>38</v>
      </c>
      <c r="C33" s="21"/>
    </row>
    <row r="34" spans="2:3" ht="19" x14ac:dyDescent="0.2">
      <c r="B34" s="1" t="s">
        <v>12</v>
      </c>
      <c r="C34" s="1" t="s">
        <v>24</v>
      </c>
    </row>
    <row r="35" spans="2:3" x14ac:dyDescent="0.2">
      <c r="B35" t="s">
        <v>39</v>
      </c>
      <c r="C35" s="29">
        <f>SUMIFS(Table1[Cost],Table1[Date],"&gt;="&amp;DATE(2026,9,7),Table1[Date],"&lt;"&amp;DATE(2026,9,14))+SUMIFS(Table3[Cost],Table3[Date],"&gt;="&amp;DATE(2027,2,8),Table3[Date],"&lt;"&amp;DATE(2027,2,15))+SUMIFS(Table5[Cost],Table5[Date],"&gt;="&amp;DATE(2027,5,24),Table5[Date],"&lt;"&amp;DATE(2027,5,31))</f>
        <v>1000</v>
      </c>
    </row>
    <row r="36" spans="2:3" x14ac:dyDescent="0.2">
      <c r="B36" s="21" t="s">
        <v>40</v>
      </c>
      <c r="C36" s="29">
        <f>SUMIFS(Table1[Cost],Table1[Date],"&gt;="&amp;DATE(2026,9,14),Table1[Date],"&lt;"&amp;DATE(2026,9,28))+SUMIFS(Table3[Cost],Table3[Date],"&gt;="&amp;DATE(2027,2,15),Table3[Date],"&lt;"&amp;DATE(2027,3,1))+SUMIFS(Table5[Cost],Table5[Date],"&gt;="&amp;DATE(2027,5,31),Table5[Date],"&lt;"&amp;DATE(2027,6,14))</f>
        <v>580</v>
      </c>
    </row>
    <row r="37" spans="2:3" x14ac:dyDescent="0.2">
      <c r="B37" s="21" t="s">
        <v>41</v>
      </c>
      <c r="C37" s="29">
        <f>SUMIFS(Table1[Cost],Table1[Date],"&gt;="&amp;DATE(2026,9,28),Table1[Date],"&lt;"&amp;DATE(2026,10,12))+SUMIFS(Table3[Cost],Table3[Date],"&gt;="&amp;DATE(2027,3,1),Table3[Date],"&lt;"&amp;DATE(2027,3,15))+SUMIFS(Table5[Cost],Table5[Date],"&gt;="&amp;DATE(2027,6,14),Table5[Date],"&lt;"&amp;DATE(2027,6,28))</f>
        <v>370</v>
      </c>
    </row>
    <row r="38" spans="2:3" x14ac:dyDescent="0.2">
      <c r="B38" s="21" t="s">
        <v>42</v>
      </c>
      <c r="C38" s="29">
        <f>SUMIFS(Table1[Cost],Table1[Date],"&gt;="&amp;DATE(2026,10,12),Table1[Date],"&lt;"&amp;DATE(2026,10,26))+SUMIFS(Table3[Cost],Table3[Date],"&gt;="&amp;DATE(2027,3,15),Table3[Date],"&lt;"&amp;DATE(2027,3,29))+SUMIFS(Table5[Cost],Table5[Date],"&gt;="&amp;DATE(2027,6,28),Table5[Date],"&lt;"&amp;DATE(2027,7,12))</f>
        <v>480</v>
      </c>
    </row>
    <row r="39" spans="2:3" x14ac:dyDescent="0.2">
      <c r="B39" s="21" t="s">
        <v>43</v>
      </c>
      <c r="C39" s="29">
        <f>SUMIFS(Table1[Cost],Table1[Date],"&gt;="&amp;DATE(2026,10,26),Table1[Date],"&lt;"&amp;DATE(2026,11,9))+SUMIFS(Table3[Cost],Table3[Date],"&gt;="&amp;DATE(2027,3,29),Table3[Date],"&lt;"&amp;DATE(2027,4,12))+SUMIFS(Table5[Cost],Table5[Date],"&gt;="&amp;DATE(2027,7,12),Table5[Date],"&lt;"&amp;DATE(2027,7,26))</f>
        <v>170</v>
      </c>
    </row>
    <row r="40" spans="2:3" x14ac:dyDescent="0.2">
      <c r="B40" s="21" t="s">
        <v>44</v>
      </c>
      <c r="C40" s="29">
        <f>SUMIFS(Table1[Cost],Table1[Date],"&gt;="&amp;DATE(2026,11,9),Table1[Date],"&lt;"&amp;DATE(2026,11,23))+SUMIFS(Table3[Cost],Table3[Date],"&gt;="&amp;DATE(2027,4,12),Table3[Date],"&lt;"&amp;DATE(2027,4,26))+SUMIFS(Table5[Cost],Table5[Date],"&gt;="&amp;DATE(2027,7,26),Table5[Date],"&lt;"&amp;DATE(2027,8,9))</f>
        <v>0</v>
      </c>
    </row>
    <row r="41" spans="2:3" x14ac:dyDescent="0.2">
      <c r="B41" s="21" t="s">
        <v>45</v>
      </c>
      <c r="C41" s="29">
        <f>SUMIFS(Table1[Cost],Table1[Date],"&gt;="&amp;DATE(2026,11,23),Table1[Date],"&lt;"&amp;DATE(2026,12,12))+SUMIFS(Table3[Cost],Table3[Date],"&gt;="&amp;DATE(2027,4,26),Table3[Date],"&lt;"&amp;DATE(2027,5,15))+SUMIFS(Table5[Cost],Table5[Date],"&gt;="&amp;DATE(2027,8,9),Table5[Date],"&lt;"&amp;DATE(2027,8,28))</f>
        <v>0</v>
      </c>
    </row>
    <row r="42" spans="2:3" x14ac:dyDescent="0.2">
      <c r="B42" s="21" t="s">
        <v>46</v>
      </c>
      <c r="C42" s="36">
        <f>MAX(0,$R$5-SUM(C35:C41))</f>
        <v>0</v>
      </c>
    </row>
    <row r="43" spans="2:3" x14ac:dyDescent="0.2">
      <c r="B43" t="s">
        <v>32</v>
      </c>
      <c r="C43" s="29">
        <f>SUM(C35:C42)</f>
        <v>2600</v>
      </c>
    </row>
    <row r="44" spans="2:3" x14ac:dyDescent="0.2">
      <c r="C44" s="29"/>
    </row>
    <row r="45" spans="2:3" x14ac:dyDescent="0.2">
      <c r="C45" s="29"/>
    </row>
    <row r="46" spans="2:3" ht="21" x14ac:dyDescent="0.25">
      <c r="B46" s="20" t="s">
        <v>47</v>
      </c>
      <c r="C46" s="36"/>
    </row>
    <row r="47" spans="2:3" ht="19" x14ac:dyDescent="0.2">
      <c r="B47" s="1" t="s">
        <v>12</v>
      </c>
      <c r="C47" s="37" t="s">
        <v>24</v>
      </c>
    </row>
    <row r="48" spans="2:3" x14ac:dyDescent="0.2">
      <c r="B48" t="s">
        <v>39</v>
      </c>
      <c r="C48" s="29">
        <f>SUMIFS(Table2[Cost],Table2[Date],"&gt;="&amp;DATE(2026,9,7),Table2[Date],"&lt;"&amp;DATE(2026,9,14))+SUMIFS(Table4[Cost],Table4[Date],"&gt;="&amp;DATE(2027,2,8),Table4[Date],"&lt;"&amp;DATE(2027,2,15))+SUMIFS(Table6[Cost],Table6[Date],"&gt;="&amp;DATE(2027,5,24),Table6[Date],"&lt;"&amp;DATE(2027,5,31))</f>
        <v>500</v>
      </c>
    </row>
    <row r="49" spans="2:3" x14ac:dyDescent="0.2">
      <c r="B49" s="21" t="s">
        <v>40</v>
      </c>
      <c r="C49" s="29">
        <f>SUMIFS(Table2[Cost],Table2[Date],"&gt;="&amp;DATE(2026,9,14),Table2[Date],"&lt;"&amp;DATE(2026,9,28))+SUMIFS(Table4[Cost],Table4[Date],"&gt;="&amp;DATE(2027,2,15),Table4[Date],"&lt;"&amp;DATE(2027,3,1))+SUMIFS(Table6[Cost],Table6[Date],"&gt;="&amp;DATE(2027,5,31),Table6[Date],"&lt;"&amp;DATE(2027,6,14))</f>
        <v>1200</v>
      </c>
    </row>
    <row r="50" spans="2:3" x14ac:dyDescent="0.2">
      <c r="B50" s="21" t="s">
        <v>41</v>
      </c>
      <c r="C50" s="29">
        <f>SUMIFS(Table2[Cost],Table2[Date],"&gt;="&amp;DATE(2026,9,28),Table2[Date],"&lt;"&amp;DATE(2026,10,12))+SUMIFS(Table4[Cost],Table4[Date],"&gt;="&amp;DATE(2027,3,1),Table4[Date],"&lt;"&amp;DATE(2027,3,15))+SUMIFS(Table6[Cost],Table6[Date],"&gt;="&amp;DATE(2027,6,14),Table6[Date],"&lt;"&amp;DATE(2027,6,28))</f>
        <v>900</v>
      </c>
    </row>
    <row r="51" spans="2:3" x14ac:dyDescent="0.2">
      <c r="B51" s="21" t="s">
        <v>42</v>
      </c>
      <c r="C51" s="29">
        <f>SUMIFS(Table2[Cost],Table2[Date],"&gt;="&amp;DATE(2026,10,12),Table2[Date],"&lt;"&amp;DATE(2026,10,26))+SUMIFS(Table4[Cost],Table4[Date],"&gt;="&amp;DATE(2027,3,15),Table4[Date],"&lt;"&amp;DATE(2027,3,29))+SUMIFS(Table6[Cost],Table6[Date],"&gt;="&amp;DATE(2027,6,28),Table6[Date],"&lt;"&amp;DATE(2027,7,12))</f>
        <v>300</v>
      </c>
    </row>
    <row r="52" spans="2:3" x14ac:dyDescent="0.2">
      <c r="B52" s="21" t="s">
        <v>43</v>
      </c>
      <c r="C52" s="29">
        <f>SUMIFS(Table2[Cost],Table2[Date],"&gt;="&amp;DATE(2026,10,26),Table2[Date],"&lt;"&amp;DATE(2026,11,9))+SUMIFS(Table4[Cost],Table4[Date],"&gt;="&amp;DATE(2027,3,29),Table4[Date],"&lt;"&amp;DATE(2027,4,12))+SUMIFS(Table6[Cost],Table6[Date],"&gt;="&amp;DATE(2027,7,12),Table6[Date],"&lt;"&amp;DATE(2027,7,26))</f>
        <v>0</v>
      </c>
    </row>
    <row r="53" spans="2:3" x14ac:dyDescent="0.2">
      <c r="B53" s="21" t="s">
        <v>44</v>
      </c>
      <c r="C53" s="29">
        <f>SUMIFS(Table2[Cost],Table2[Date],"&gt;="&amp;DATE(2026,11,9),Table2[Date],"&lt;"&amp;DATE(2026,11,23))+SUMIFS(Table4[Cost],Table4[Date],"&gt;="&amp;DATE(2027,4,12),Table4[Date],"&lt;"&amp;DATE(2027,4,26))+SUMIFS(Table6[Cost],Table6[Date],"&gt;="&amp;DATE(2027,7,26),Table6[Date],"&lt;"&amp;DATE(2027,8,9))</f>
        <v>0</v>
      </c>
    </row>
    <row r="54" spans="2:3" x14ac:dyDescent="0.2">
      <c r="B54" s="21" t="s">
        <v>45</v>
      </c>
      <c r="C54" s="29">
        <f>SUMIFS(Table2[Cost],Table2[Date],"&gt;="&amp;DATE(2026,11,23),Table2[Date],"&lt;"&amp;DATE(2026,12,12))+SUMIFS(Table4[Cost],Table4[Date],"&gt;="&amp;DATE(2027,4,26),Table4[Date],"&lt;"&amp;DATE(2027,5,15))+SUMIFS(Table6[Cost],Table6[Date],"&gt;="&amp;DATE(2027,8,9),Table6[Date],"&lt;"&amp;DATE(2027,8,28))</f>
        <v>0</v>
      </c>
    </row>
    <row r="55" spans="2:3" x14ac:dyDescent="0.2">
      <c r="B55" s="21" t="s">
        <v>48</v>
      </c>
      <c r="C55" s="36">
        <f>MAX(0,$R$6-SUM(C48:C54))</f>
        <v>0</v>
      </c>
    </row>
    <row r="56" spans="2:3" x14ac:dyDescent="0.2">
      <c r="B56" t="s">
        <v>32</v>
      </c>
      <c r="C56" s="29">
        <f>SUM(C48:C55)</f>
        <v>2900</v>
      </c>
    </row>
  </sheetData>
  <mergeCells count="9">
    <mergeCell ref="Q8:R9"/>
    <mergeCell ref="R7:S7"/>
    <mergeCell ref="R4:S4"/>
    <mergeCell ref="B3:S3"/>
    <mergeCell ref="B4:H4"/>
    <mergeCell ref="B5:E5"/>
    <mergeCell ref="B6:E6"/>
    <mergeCell ref="R5:S5"/>
    <mergeCell ref="R6:S6"/>
  </mergeCells>
  <conditionalFormatting sqref="B11">
    <cfRule type="dataBar" priority="4">
      <dataBar>
        <cfvo type="num" val="0"/>
        <cfvo type="num" val="$J$12"/>
        <color rgb="FFFFB628"/>
      </dataBar>
    </cfRule>
    <cfRule type="dataBar" priority="5">
      <dataBar>
        <cfvo type="num" val="0"/>
        <cfvo type="num" val="$J$12"/>
        <color rgb="FFFFB628"/>
      </dataBar>
      <extLst>
        <ext xmlns:x14="http://schemas.microsoft.com/office/spreadsheetml/2009/9/main" uri="{B025F937-C7B1-47D3-B67F-A62EFF666E3E}">
          <x14:id>{8955EDC5-A523-4DEC-B6E8-558E7AA39B2F}</x14:id>
        </ext>
      </extLst>
    </cfRule>
  </conditionalFormatting>
  <conditionalFormatting sqref="B23">
    <cfRule type="dataBar" priority="3">
      <dataBar>
        <cfvo type="num" val="0"/>
        <cfvo type="num" val="$J$12"/>
        <color rgb="FFFFB628"/>
      </dataBar>
    </cfRule>
    <cfRule type="dataBar" priority="6">
      <dataBar>
        <cfvo type="num" val="0"/>
        <cfvo type="num" val="$J$12"/>
        <color rgb="FFFFB628"/>
      </dataBar>
      <extLst>
        <ext xmlns:x14="http://schemas.microsoft.com/office/spreadsheetml/2009/9/main" uri="{B025F937-C7B1-47D3-B67F-A62EFF666E3E}">
          <x14:id>{F887E955-1F48-44DF-A523-4A5CC1F60F92}</x14:id>
        </ext>
      </extLst>
    </cfRule>
  </conditionalFormatting>
  <conditionalFormatting sqref="B34">
    <cfRule type="dataBar" priority="2">
      <dataBar>
        <cfvo type="num" val="0"/>
        <cfvo type="num" val="$J$12"/>
        <color rgb="FFFFB628"/>
      </dataBar>
    </cfRule>
    <cfRule type="dataBar" priority="7">
      <dataBar>
        <cfvo type="num" val="0"/>
        <cfvo type="num" val="$J$12"/>
        <color rgb="FFFFB628"/>
      </dataBar>
      <extLst>
        <ext xmlns:x14="http://schemas.microsoft.com/office/spreadsheetml/2009/9/main" uri="{B025F937-C7B1-47D3-B67F-A62EFF666E3E}">
          <x14:id>{DA5D3FEB-378D-4189-AAA5-155236DC8999}</x14:id>
        </ext>
      </extLst>
    </cfRule>
  </conditionalFormatting>
  <conditionalFormatting sqref="B47">
    <cfRule type="dataBar" priority="1">
      <dataBar>
        <cfvo type="num" val="0"/>
        <cfvo type="num" val="$J$12"/>
        <color rgb="FFFFB628"/>
      </dataBar>
    </cfRule>
    <cfRule type="dataBar" priority="8">
      <dataBar>
        <cfvo type="num" val="0"/>
        <cfvo type="num" val="$J$12"/>
        <color rgb="FFFFB628"/>
      </dataBar>
      <extLst>
        <ext xmlns:x14="http://schemas.microsoft.com/office/spreadsheetml/2009/9/main" uri="{B025F937-C7B1-47D3-B67F-A62EFF666E3E}">
          <x14:id>{F8FD42D6-3474-458D-B265-DDB4AC8E786F}</x14:id>
        </ext>
      </extLst>
    </cfRule>
  </conditionalFormatting>
  <dataValidations count="1">
    <dataValidation type="list" allowBlank="1" showInputMessage="1" showErrorMessage="1" promptTitle="Select Year" sqref="R4:S4" xr:uid="{00000000-0002-0000-0400-000000000000}">
      <formula1>"2023, 2024, 2025, 2026"</formula1>
    </dataValidation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55EDC5-A523-4DEC-B6E8-558E7AA39B2F}">
            <x14:dataBar gradient="0" negativeBarColorSameAsPositive="1">
              <x14:cfvo type="num">
                <xm:f>0</xm:f>
              </x14:cfvo>
              <x14:cfvo type="num">
                <xm:f>$J$12</xm:f>
              </x14:cfvo>
              <x14:axisColor auto="1"/>
            </x14:dataBar>
          </x14:cfRule>
          <xm:sqref>B11</xm:sqref>
        </x14:conditionalFormatting>
        <x14:conditionalFormatting xmlns:xm="http://schemas.microsoft.com/office/excel/2006/main">
          <x14:cfRule type="dataBar" id="{F887E955-1F48-44DF-A523-4A5CC1F60F92}">
            <x14:dataBar gradient="0" negativeBarColorSameAsPositive="1">
              <x14:cfvo type="num">
                <xm:f>0</xm:f>
              </x14:cfvo>
              <x14:cfvo type="num">
                <xm:f>$J$12</xm:f>
              </x14:cfvo>
              <x14:axisColor auto="1"/>
            </x14:dataBar>
          </x14:cfRule>
          <xm:sqref>B23</xm:sqref>
        </x14:conditionalFormatting>
        <x14:conditionalFormatting xmlns:xm="http://schemas.microsoft.com/office/excel/2006/main">
          <x14:cfRule type="dataBar" id="{DA5D3FEB-378D-4189-AAA5-155236DC8999}">
            <x14:dataBar gradient="0" negativeBarColorSameAsPositive="1">
              <x14:cfvo type="num">
                <xm:f>0</xm:f>
              </x14:cfvo>
              <x14:cfvo type="num">
                <xm:f>$J$12</xm:f>
              </x14:cfvo>
              <x14:axisColor auto="1"/>
            </x14:dataBar>
          </x14:cfRule>
          <xm:sqref>B34</xm:sqref>
        </x14:conditionalFormatting>
        <x14:conditionalFormatting xmlns:xm="http://schemas.microsoft.com/office/excel/2006/main">
          <x14:cfRule type="dataBar" id="{F8FD42D6-3474-458D-B265-DDB4AC8E786F}">
            <x14:dataBar gradient="0" negativeBarColorSameAsPositive="1">
              <x14:cfvo type="num">
                <xm:f>0</xm:f>
              </x14:cfvo>
              <x14:cfvo type="num">
                <xm:f>$J$12</xm:f>
              </x14:cfvo>
              <x14:axisColor auto="1"/>
            </x14:dataBar>
          </x14:cfRule>
          <xm:sqref>B47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G47"/>
  <sheetViews>
    <sheetView showGridLines="0" workbookViewId="0"/>
  </sheetViews>
  <sheetFormatPr baseColWidth="10" defaultColWidth="8.83203125" defaultRowHeight="15" x14ac:dyDescent="0.2"/>
  <cols>
    <col min="2" max="2" width="22.1640625" customWidth="1"/>
    <col min="3" max="3" width="11.5" customWidth="1"/>
    <col min="4" max="4" width="15" customWidth="1"/>
    <col min="5" max="5" width="14.6640625" customWidth="1"/>
  </cols>
  <sheetData>
    <row r="3" spans="2:7" ht="20" x14ac:dyDescent="0.25">
      <c r="B3" s="23" t="s">
        <v>49</v>
      </c>
    </row>
    <row r="4" spans="2:7" x14ac:dyDescent="0.2">
      <c r="B4" s="13" t="s">
        <v>50</v>
      </c>
      <c r="C4" s="13" t="s">
        <v>51</v>
      </c>
      <c r="D4" t="s">
        <v>52</v>
      </c>
      <c r="E4" t="s">
        <v>53</v>
      </c>
      <c r="F4" t="s">
        <v>54</v>
      </c>
      <c r="G4" t="s">
        <v>55</v>
      </c>
    </row>
    <row r="5" spans="2:7" x14ac:dyDescent="0.2">
      <c r="B5" t="s">
        <v>39</v>
      </c>
      <c r="D5" s="24">
        <v>44963</v>
      </c>
      <c r="E5" s="24">
        <v>45327</v>
      </c>
    </row>
    <row r="6" spans="2:7" x14ac:dyDescent="0.2">
      <c r="B6" t="s">
        <v>56</v>
      </c>
      <c r="D6" s="24">
        <v>44970</v>
      </c>
      <c r="E6" s="24">
        <v>45334</v>
      </c>
    </row>
    <row r="7" spans="2:7" x14ac:dyDescent="0.2">
      <c r="B7" t="s">
        <v>57</v>
      </c>
      <c r="D7" s="24">
        <v>44977</v>
      </c>
      <c r="E7" s="24">
        <v>45341</v>
      </c>
    </row>
    <row r="8" spans="2:7" x14ac:dyDescent="0.2">
      <c r="B8" t="s">
        <v>58</v>
      </c>
      <c r="D8" s="24">
        <v>44984</v>
      </c>
      <c r="E8" s="24">
        <v>45348</v>
      </c>
    </row>
    <row r="9" spans="2:7" x14ac:dyDescent="0.2">
      <c r="B9" t="s">
        <v>59</v>
      </c>
      <c r="D9" s="24">
        <v>44991</v>
      </c>
      <c r="E9" s="24">
        <v>45355</v>
      </c>
    </row>
    <row r="10" spans="2:7" x14ac:dyDescent="0.2">
      <c r="B10" t="s">
        <v>60</v>
      </c>
      <c r="D10" s="24">
        <v>44998</v>
      </c>
      <c r="E10" s="24">
        <v>45362</v>
      </c>
    </row>
    <row r="11" spans="2:7" x14ac:dyDescent="0.2">
      <c r="B11" t="s">
        <v>61</v>
      </c>
      <c r="D11" s="24">
        <v>45005</v>
      </c>
      <c r="E11" s="24">
        <v>45369</v>
      </c>
    </row>
    <row r="12" spans="2:7" x14ac:dyDescent="0.2">
      <c r="B12" t="s">
        <v>62</v>
      </c>
      <c r="D12" s="24">
        <v>45012</v>
      </c>
      <c r="E12" s="24">
        <v>45376</v>
      </c>
    </row>
    <row r="13" spans="2:7" x14ac:dyDescent="0.2">
      <c r="B13" t="s">
        <v>63</v>
      </c>
      <c r="D13" s="24">
        <v>45019</v>
      </c>
      <c r="E13" s="24">
        <v>45383</v>
      </c>
    </row>
    <row r="14" spans="2:7" x14ac:dyDescent="0.2">
      <c r="B14" t="s">
        <v>64</v>
      </c>
      <c r="D14" s="24">
        <v>45026</v>
      </c>
      <c r="E14" s="24">
        <v>45390</v>
      </c>
    </row>
    <row r="15" spans="2:7" x14ac:dyDescent="0.2">
      <c r="B15" t="s">
        <v>65</v>
      </c>
      <c r="D15" s="24">
        <v>45033</v>
      </c>
      <c r="E15" s="24">
        <v>45397</v>
      </c>
    </row>
    <row r="16" spans="2:7" x14ac:dyDescent="0.2">
      <c r="B16" t="s">
        <v>66</v>
      </c>
      <c r="D16" s="24">
        <v>45040</v>
      </c>
      <c r="E16" s="24">
        <v>45404</v>
      </c>
    </row>
    <row r="17" spans="2:7" x14ac:dyDescent="0.2">
      <c r="B17" t="s">
        <v>67</v>
      </c>
      <c r="D17" s="24">
        <v>45058</v>
      </c>
      <c r="E17" s="24">
        <v>45422</v>
      </c>
    </row>
    <row r="19" spans="2:7" x14ac:dyDescent="0.2">
      <c r="B19" s="13" t="s">
        <v>68</v>
      </c>
      <c r="C19" s="13" t="s">
        <v>51</v>
      </c>
      <c r="D19" t="s">
        <v>52</v>
      </c>
      <c r="E19" t="s">
        <v>53</v>
      </c>
      <c r="F19" t="s">
        <v>54</v>
      </c>
      <c r="G19" t="s">
        <v>55</v>
      </c>
    </row>
    <row r="20" spans="2:7" x14ac:dyDescent="0.2">
      <c r="B20" t="s">
        <v>39</v>
      </c>
      <c r="D20" s="24">
        <v>45068</v>
      </c>
      <c r="E20" s="24">
        <v>45432</v>
      </c>
    </row>
    <row r="21" spans="2:7" x14ac:dyDescent="0.2">
      <c r="B21" t="s">
        <v>56</v>
      </c>
      <c r="D21" s="24">
        <v>45075</v>
      </c>
      <c r="E21" s="24">
        <v>45439</v>
      </c>
    </row>
    <row r="22" spans="2:7" x14ac:dyDescent="0.2">
      <c r="B22" t="s">
        <v>57</v>
      </c>
      <c r="D22" s="24">
        <v>45082</v>
      </c>
      <c r="E22" s="24">
        <v>45446</v>
      </c>
    </row>
    <row r="23" spans="2:7" x14ac:dyDescent="0.2">
      <c r="B23" t="s">
        <v>58</v>
      </c>
      <c r="D23" s="24">
        <v>45089</v>
      </c>
      <c r="E23" s="24">
        <v>45453</v>
      </c>
    </row>
    <row r="24" spans="2:7" x14ac:dyDescent="0.2">
      <c r="B24" t="s">
        <v>59</v>
      </c>
      <c r="D24" s="24">
        <v>45096</v>
      </c>
      <c r="E24" s="24">
        <v>45460</v>
      </c>
    </row>
    <row r="25" spans="2:7" x14ac:dyDescent="0.2">
      <c r="B25" t="s">
        <v>60</v>
      </c>
      <c r="D25" s="24">
        <v>45103</v>
      </c>
      <c r="E25" s="24">
        <v>45467</v>
      </c>
    </row>
    <row r="26" spans="2:7" x14ac:dyDescent="0.2">
      <c r="B26" t="s">
        <v>61</v>
      </c>
      <c r="D26" s="24">
        <v>45110</v>
      </c>
      <c r="E26" s="24">
        <v>45474</v>
      </c>
    </row>
    <row r="27" spans="2:7" x14ac:dyDescent="0.2">
      <c r="B27" t="s">
        <v>62</v>
      </c>
      <c r="D27" s="24">
        <v>45117</v>
      </c>
      <c r="E27" s="24">
        <v>45481</v>
      </c>
    </row>
    <row r="28" spans="2:7" x14ac:dyDescent="0.2">
      <c r="B28" t="s">
        <v>63</v>
      </c>
      <c r="D28" s="24">
        <v>45124</v>
      </c>
      <c r="E28" s="24">
        <v>45488</v>
      </c>
    </row>
    <row r="29" spans="2:7" x14ac:dyDescent="0.2">
      <c r="B29" t="s">
        <v>64</v>
      </c>
      <c r="D29" s="24">
        <v>45131</v>
      </c>
      <c r="E29" s="24">
        <v>45495</v>
      </c>
    </row>
    <row r="30" spans="2:7" x14ac:dyDescent="0.2">
      <c r="B30" t="s">
        <v>65</v>
      </c>
      <c r="D30" s="24">
        <v>45138</v>
      </c>
      <c r="E30" s="24">
        <v>45502</v>
      </c>
    </row>
    <row r="31" spans="2:7" x14ac:dyDescent="0.2">
      <c r="B31" t="s">
        <v>66</v>
      </c>
      <c r="D31" s="24">
        <v>45145</v>
      </c>
      <c r="E31" s="24">
        <v>45509</v>
      </c>
    </row>
    <row r="32" spans="2:7" x14ac:dyDescent="0.2">
      <c r="B32" t="s">
        <v>67</v>
      </c>
      <c r="C32" s="24">
        <v>44799</v>
      </c>
      <c r="D32" s="24">
        <v>45163</v>
      </c>
      <c r="E32" s="24">
        <v>45527</v>
      </c>
    </row>
    <row r="34" spans="2:7" x14ac:dyDescent="0.2">
      <c r="B34" s="13" t="s">
        <v>69</v>
      </c>
      <c r="C34" s="13" t="s">
        <v>51</v>
      </c>
      <c r="D34" t="s">
        <v>52</v>
      </c>
      <c r="E34" t="s">
        <v>53</v>
      </c>
      <c r="F34" t="s">
        <v>54</v>
      </c>
      <c r="G34" t="s">
        <v>55</v>
      </c>
    </row>
    <row r="35" spans="2:7" x14ac:dyDescent="0.2">
      <c r="B35" t="s">
        <v>39</v>
      </c>
      <c r="C35" s="24">
        <v>44809</v>
      </c>
      <c r="D35" s="24">
        <v>45173</v>
      </c>
      <c r="E35" s="24">
        <v>45537</v>
      </c>
    </row>
    <row r="36" spans="2:7" x14ac:dyDescent="0.2">
      <c r="B36" t="s">
        <v>56</v>
      </c>
      <c r="C36" s="24">
        <v>44816</v>
      </c>
      <c r="D36" s="24">
        <v>45180</v>
      </c>
      <c r="E36" s="24">
        <v>45544</v>
      </c>
    </row>
    <row r="37" spans="2:7" x14ac:dyDescent="0.2">
      <c r="B37" t="s">
        <v>57</v>
      </c>
      <c r="C37" s="24">
        <v>44823</v>
      </c>
      <c r="D37" s="24">
        <v>45187</v>
      </c>
      <c r="E37" s="24">
        <v>45551</v>
      </c>
    </row>
    <row r="38" spans="2:7" x14ac:dyDescent="0.2">
      <c r="B38" t="s">
        <v>58</v>
      </c>
      <c r="C38" s="24">
        <v>44830</v>
      </c>
      <c r="D38" s="24">
        <v>45194</v>
      </c>
      <c r="E38" s="24">
        <v>45558</v>
      </c>
    </row>
    <row r="39" spans="2:7" x14ac:dyDescent="0.2">
      <c r="B39" t="s">
        <v>59</v>
      </c>
      <c r="C39" s="24">
        <v>44837</v>
      </c>
      <c r="D39" s="24">
        <v>45201</v>
      </c>
      <c r="E39" s="24">
        <v>45565</v>
      </c>
    </row>
    <row r="40" spans="2:7" x14ac:dyDescent="0.2">
      <c r="B40" t="s">
        <v>60</v>
      </c>
      <c r="C40" s="24">
        <v>44844</v>
      </c>
      <c r="D40" s="24">
        <v>45208</v>
      </c>
      <c r="E40" s="24">
        <v>45572</v>
      </c>
    </row>
    <row r="41" spans="2:7" x14ac:dyDescent="0.2">
      <c r="B41" t="s">
        <v>61</v>
      </c>
      <c r="C41" s="24">
        <v>44851</v>
      </c>
      <c r="D41" s="24">
        <v>45215</v>
      </c>
      <c r="E41" s="24">
        <v>45579</v>
      </c>
    </row>
    <row r="42" spans="2:7" x14ac:dyDescent="0.2">
      <c r="B42" t="s">
        <v>62</v>
      </c>
      <c r="C42" s="24">
        <v>44858</v>
      </c>
      <c r="D42" s="24">
        <v>45222</v>
      </c>
      <c r="E42" s="24">
        <v>45586</v>
      </c>
    </row>
    <row r="43" spans="2:7" x14ac:dyDescent="0.2">
      <c r="B43" t="s">
        <v>63</v>
      </c>
      <c r="C43" s="24">
        <v>44865</v>
      </c>
      <c r="D43" s="24">
        <v>45229</v>
      </c>
      <c r="E43" s="24">
        <v>45593</v>
      </c>
    </row>
    <row r="44" spans="2:7" x14ac:dyDescent="0.2">
      <c r="B44" t="s">
        <v>64</v>
      </c>
      <c r="C44" s="24">
        <v>44872</v>
      </c>
      <c r="D44" s="24">
        <v>45236</v>
      </c>
      <c r="E44" s="24">
        <v>45600</v>
      </c>
    </row>
    <row r="45" spans="2:7" x14ac:dyDescent="0.2">
      <c r="B45" t="s">
        <v>65</v>
      </c>
      <c r="C45" s="24">
        <v>44879</v>
      </c>
      <c r="D45" s="24">
        <v>45243</v>
      </c>
      <c r="E45" s="24">
        <v>45607</v>
      </c>
    </row>
    <row r="46" spans="2:7" x14ac:dyDescent="0.2">
      <c r="B46" t="s">
        <v>66</v>
      </c>
      <c r="C46" s="24">
        <v>44886</v>
      </c>
      <c r="D46" s="24">
        <v>45250</v>
      </c>
      <c r="E46" s="24">
        <v>45614</v>
      </c>
    </row>
    <row r="47" spans="2:7" x14ac:dyDescent="0.2">
      <c r="B47" t="s">
        <v>67</v>
      </c>
      <c r="C47" s="24">
        <v>44904</v>
      </c>
      <c r="D47" s="24">
        <v>45268</v>
      </c>
      <c r="E47" s="24">
        <v>45640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Ledger T3</vt:lpstr>
      <vt:lpstr>General Ledger T1</vt:lpstr>
      <vt:lpstr>General Ledger T2</vt:lpstr>
      <vt:lpstr>Income &amp; Expenditure</vt:lpstr>
      <vt:lpstr>Term 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Derrick Jung</cp:lastModifiedBy>
  <dcterms:created xsi:type="dcterms:W3CDTF">2026-07-02T07:22:03Z</dcterms:created>
  <dcterms:modified xsi:type="dcterms:W3CDTF">2026-07-02T07:22:03Z</dcterms:modified>
</cp:coreProperties>
</file>